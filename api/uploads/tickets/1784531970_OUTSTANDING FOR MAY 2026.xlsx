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pfcosz-my.sharepoint.com/personal/nomphumelelo_pspf_co_sz/Documents/Desktop/"/>
    </mc:Choice>
  </mc:AlternateContent>
  <xr:revisionPtr revIDLastSave="0" documentId="8_{DBF0552E-CE4A-4BB2-B1AF-A664C68DEB68}" xr6:coauthVersionLast="47" xr6:coauthVersionMax="47" xr10:uidLastSave="{00000000-0000-0000-0000-000000000000}"/>
  <bookViews>
    <workbookView xWindow="-108" yWindow="-108" windowWidth="23256" windowHeight="12456" xr2:uid="{BC798D4B-5BA1-461A-96CA-36D78284A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0" i="1" l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<sst xmlns="http://schemas.openxmlformats.org/spreadsheetml/2006/main" count="1755" uniqueCount="478">
  <si>
    <t>TYPE OF ANNUITANT</t>
  </si>
  <si>
    <t>MEMBERSHIP REFERENCE</t>
  </si>
  <si>
    <t>UNIQUE ID</t>
  </si>
  <si>
    <t>PAYEE NAME</t>
  </si>
  <si>
    <t>INITIALS</t>
  </si>
  <si>
    <t>FIRST NAME</t>
  </si>
  <si>
    <t>DATE OF BIRTH</t>
  </si>
  <si>
    <t>DAY</t>
  </si>
  <si>
    <t>MONTH</t>
  </si>
  <si>
    <t>YEAR</t>
  </si>
  <si>
    <t>IDENTITY NUMBER</t>
  </si>
  <si>
    <t>START DATE</t>
  </si>
  <si>
    <t>EFFECTIVE DATE</t>
  </si>
  <si>
    <t>LAST PAYMENT DATE</t>
  </si>
  <si>
    <t>AMOUNT</t>
  </si>
  <si>
    <t>NUMBER OF PAYMENTS INCL</t>
  </si>
  <si>
    <t>PAYMENT FREQUENCY</t>
  </si>
  <si>
    <t>PAYMENT METHOD</t>
  </si>
  <si>
    <t>BRANCH CODE</t>
  </si>
  <si>
    <t>BANK ACCOUNT NUMBER</t>
  </si>
  <si>
    <t>DEDUCTIONS</t>
  </si>
  <si>
    <t>TAX FREE DEDUCTION</t>
  </si>
  <si>
    <t>SITE TAX</t>
  </si>
  <si>
    <t>PAYE AMOUNT</t>
  </si>
  <si>
    <t>GROSS PAYMENT</t>
  </si>
  <si>
    <t>PAYMENT AMOUNT</t>
  </si>
  <si>
    <t>PAYMENT TYPE</t>
  </si>
  <si>
    <t>NOTES</t>
  </si>
  <si>
    <t>ANNUITY MEMB GRP</t>
  </si>
  <si>
    <t>ANNUITANT</t>
  </si>
  <si>
    <t>NKAMBULE</t>
  </si>
  <si>
    <t>D</t>
  </si>
  <si>
    <t>DOCTORS</t>
  </si>
  <si>
    <t>MONTHLY</t>
  </si>
  <si>
    <t>EFT</t>
  </si>
  <si>
    <t>ANNUITY</t>
  </si>
  <si>
    <t>Annuity Payments will be suspended in 1 months.</t>
  </si>
  <si>
    <t>DLAMINI</t>
  </si>
  <si>
    <t>M</t>
  </si>
  <si>
    <t>MAVIST</t>
  </si>
  <si>
    <t>DUBE</t>
  </si>
  <si>
    <t>B</t>
  </si>
  <si>
    <t>BENJAMINM</t>
  </si>
  <si>
    <t>MARIAT</t>
  </si>
  <si>
    <t>MABUZA</t>
  </si>
  <si>
    <t>W</t>
  </si>
  <si>
    <t>WINNIFRED</t>
  </si>
  <si>
    <t>020000342767</t>
  </si>
  <si>
    <t>NDLOVU</t>
  </si>
  <si>
    <t>MATILDAZ</t>
  </si>
  <si>
    <t>MINAH</t>
  </si>
  <si>
    <t>S</t>
  </si>
  <si>
    <t>SAMUEL</t>
  </si>
  <si>
    <t>MSANE</t>
  </si>
  <si>
    <t>P</t>
  </si>
  <si>
    <t>PHENIAS</t>
  </si>
  <si>
    <t>J</t>
  </si>
  <si>
    <t>JOSEPH</t>
  </si>
  <si>
    <t>SIFUNDZA</t>
  </si>
  <si>
    <t>V</t>
  </si>
  <si>
    <t>VUSUMUZI</t>
  </si>
  <si>
    <t>NDZINISA</t>
  </si>
  <si>
    <t>DANIEL</t>
  </si>
  <si>
    <t>T</t>
  </si>
  <si>
    <t>TIMOTHY</t>
  </si>
  <si>
    <t>MANANA</t>
  </si>
  <si>
    <t>JOHN</t>
  </si>
  <si>
    <t>SICELO</t>
  </si>
  <si>
    <t>N</t>
  </si>
  <si>
    <t>PRISCA</t>
  </si>
  <si>
    <t>DUMISANE</t>
  </si>
  <si>
    <t>THABEDE</t>
  </si>
  <si>
    <t>I</t>
  </si>
  <si>
    <t>MUSA</t>
  </si>
  <si>
    <t>SIMELANE</t>
  </si>
  <si>
    <t>SA</t>
  </si>
  <si>
    <t>SIBUSISO ANDREW</t>
  </si>
  <si>
    <t>KUNENE</t>
  </si>
  <si>
    <t>BUSISIWE</t>
  </si>
  <si>
    <t>MASILELA</t>
  </si>
  <si>
    <t>BADIDILE</t>
  </si>
  <si>
    <t>MALINDZISA</t>
  </si>
  <si>
    <t>MICHAEL</t>
  </si>
  <si>
    <t>SIBANDZE</t>
  </si>
  <si>
    <t>MOSES</t>
  </si>
  <si>
    <t>MAKHABANE</t>
  </si>
  <si>
    <t>K</t>
  </si>
  <si>
    <t>KENNETH</t>
  </si>
  <si>
    <t>TSABEDZE</t>
  </si>
  <si>
    <t>LST</t>
  </si>
  <si>
    <t>SIBUSISO</t>
  </si>
  <si>
    <t>MATSEBULA</t>
  </si>
  <si>
    <t>BONNIE</t>
  </si>
  <si>
    <t>METHULA</t>
  </si>
  <si>
    <t>LUCKY</t>
  </si>
  <si>
    <t>MORRIS</t>
  </si>
  <si>
    <t>GWEBU</t>
  </si>
  <si>
    <t>THULILE</t>
  </si>
  <si>
    <t>MADONSELA</t>
  </si>
  <si>
    <t>E</t>
  </si>
  <si>
    <t>VELAPHI</t>
  </si>
  <si>
    <t>MHLANGA</t>
  </si>
  <si>
    <t>EDWARD</t>
  </si>
  <si>
    <t>F</t>
  </si>
  <si>
    <t>FUTHI</t>
  </si>
  <si>
    <t>GININDZA</t>
  </si>
  <si>
    <t>Z</t>
  </si>
  <si>
    <t>LUCAS</t>
  </si>
  <si>
    <t>AN02</t>
  </si>
  <si>
    <t>LUKHELE</t>
  </si>
  <si>
    <t>ROSE</t>
  </si>
  <si>
    <t>MNGOMEZULU</t>
  </si>
  <si>
    <t>SB</t>
  </si>
  <si>
    <t>SIDNEY BHEKITHEMBA</t>
  </si>
  <si>
    <t>NDLELA</t>
  </si>
  <si>
    <t>EMILY</t>
  </si>
  <si>
    <t>MTSHALI</t>
  </si>
  <si>
    <t>PRINCESS</t>
  </si>
  <si>
    <t>NGWENYAMA</t>
  </si>
  <si>
    <t>JOSTER</t>
  </si>
  <si>
    <t>AN01</t>
  </si>
  <si>
    <t>PETROS</t>
  </si>
  <si>
    <t>LUPUPA</t>
  </si>
  <si>
    <t>GLORIA</t>
  </si>
  <si>
    <t>LETTY</t>
  </si>
  <si>
    <t>NHLABATSI</t>
  </si>
  <si>
    <t>THULIE</t>
  </si>
  <si>
    <t>HILDAH</t>
  </si>
  <si>
    <t>NSIBANDE</t>
  </si>
  <si>
    <t>NOMSA</t>
  </si>
  <si>
    <t>NDWANDWE</t>
  </si>
  <si>
    <t>PATIENCE BUSIE</t>
  </si>
  <si>
    <t>THEMBANI</t>
  </si>
  <si>
    <t>NXUMALO</t>
  </si>
  <si>
    <t>A</t>
  </si>
  <si>
    <t>PHUMZILE</t>
  </si>
  <si>
    <t>MAVUSO</t>
  </si>
  <si>
    <t>NOKUTHULA</t>
  </si>
  <si>
    <t>SIMANGELE</t>
  </si>
  <si>
    <t>ZWANE</t>
  </si>
  <si>
    <t>DM</t>
  </si>
  <si>
    <t>DAPHNEY MHLOPHE</t>
  </si>
  <si>
    <t>C</t>
  </si>
  <si>
    <t>GERALD</t>
  </si>
  <si>
    <t>SIBONGILE</t>
  </si>
  <si>
    <t>MKHONTA</t>
  </si>
  <si>
    <t>R</t>
  </si>
  <si>
    <t>GUGU</t>
  </si>
  <si>
    <t>MKHATSHWA</t>
  </si>
  <si>
    <t>SIFISO</t>
  </si>
  <si>
    <t>HLOPHE</t>
  </si>
  <si>
    <t>G</t>
  </si>
  <si>
    <t>SIKHUMBUZO</t>
  </si>
  <si>
    <t>BHEMBE</t>
  </si>
  <si>
    <t>TETFULELO</t>
  </si>
  <si>
    <t>GAMA</t>
  </si>
  <si>
    <t>MDZINISO</t>
  </si>
  <si>
    <t>L</t>
  </si>
  <si>
    <t>NCAMSILE</t>
  </si>
  <si>
    <t>NT</t>
  </si>
  <si>
    <t>NOMCEBO</t>
  </si>
  <si>
    <t>SWAZI</t>
  </si>
  <si>
    <t>SIBEKEZELO</t>
  </si>
  <si>
    <t>NKOHLO</t>
  </si>
  <si>
    <t>MAQOMA</t>
  </si>
  <si>
    <t>MYENI</t>
  </si>
  <si>
    <t>BN</t>
  </si>
  <si>
    <t>BAGCINILE NTOMBIKAYI</t>
  </si>
  <si>
    <t>NDZIMANDZE</t>
  </si>
  <si>
    <t>FM</t>
  </si>
  <si>
    <t>NTOMBIFUTHI</t>
  </si>
  <si>
    <t>ZANELE</t>
  </si>
  <si>
    <t>SHONGWE</t>
  </si>
  <si>
    <t>TS</t>
  </si>
  <si>
    <t>TSAKASILE SIMANGELE</t>
  </si>
  <si>
    <t>MNGOMETULU</t>
  </si>
  <si>
    <t>PRECIOUS</t>
  </si>
  <si>
    <t>NOKWANDA</t>
  </si>
  <si>
    <t>PATRICK</t>
  </si>
  <si>
    <t>020000037487</t>
  </si>
  <si>
    <t>SIMON</t>
  </si>
  <si>
    <t>MKHWANAZI</t>
  </si>
  <si>
    <t>GEORGE</t>
  </si>
  <si>
    <t>MAGONGO</t>
  </si>
  <si>
    <t>JOSEPHINE</t>
  </si>
  <si>
    <t>VILAKAZI</t>
  </si>
  <si>
    <t>SIPHIWE</t>
  </si>
  <si>
    <t>MASEKO</t>
  </si>
  <si>
    <t>JABULANE</t>
  </si>
  <si>
    <t>NYAMBO</t>
  </si>
  <si>
    <t>BRENDA</t>
  </si>
  <si>
    <t>PRIZEN</t>
  </si>
  <si>
    <t>MATSENJWA</t>
  </si>
  <si>
    <t>ESTHER</t>
  </si>
  <si>
    <t>MASINA</t>
  </si>
  <si>
    <t>DOLLY</t>
  </si>
  <si>
    <t>NDLANGAMANDLA</t>
  </si>
  <si>
    <t>QUEENTON</t>
  </si>
  <si>
    <t>NKONYANE</t>
  </si>
  <si>
    <t>IDAH</t>
  </si>
  <si>
    <t>MAZIBUKO</t>
  </si>
  <si>
    <t>ZODWA</t>
  </si>
  <si>
    <t>TSHABALALA</t>
  </si>
  <si>
    <t>FV</t>
  </si>
  <si>
    <t>FRANCIS VUMANI</t>
  </si>
  <si>
    <t>MATSE</t>
  </si>
  <si>
    <t>JOSEPHINA</t>
  </si>
  <si>
    <t>HASTINGS</t>
  </si>
  <si>
    <t>MSAKAZO</t>
  </si>
  <si>
    <t>NGWENYA</t>
  </si>
  <si>
    <t>THANDEKILE</t>
  </si>
  <si>
    <t>HLATSHWAYO</t>
  </si>
  <si>
    <t>HAPPY</t>
  </si>
  <si>
    <t>MKHIZE</t>
  </si>
  <si>
    <t>STANLEY</t>
  </si>
  <si>
    <t>MTSETFWA</t>
  </si>
  <si>
    <t>SM</t>
  </si>
  <si>
    <t>SAMUEL MAVELA</t>
  </si>
  <si>
    <t>NWW</t>
  </si>
  <si>
    <t>NKOSINATHI WILFRED</t>
  </si>
  <si>
    <t>SIPHO</t>
  </si>
  <si>
    <t>HLENGIWE</t>
  </si>
  <si>
    <t>MAGAGULA</t>
  </si>
  <si>
    <t>KHETSIWE</t>
  </si>
  <si>
    <t>MAMBA</t>
  </si>
  <si>
    <t>LJ</t>
  </si>
  <si>
    <t>LUNGILE JOY</t>
  </si>
  <si>
    <t>VAN DER MERWE</t>
  </si>
  <si>
    <t>H</t>
  </si>
  <si>
    <t>ABRAHAM</t>
  </si>
  <si>
    <t>IRENE</t>
  </si>
  <si>
    <t>GH</t>
  </si>
  <si>
    <t>GCINA</t>
  </si>
  <si>
    <t>PENELOPE</t>
  </si>
  <si>
    <t>TSAKASILE</t>
  </si>
  <si>
    <t>NYAWO</t>
  </si>
  <si>
    <t>ANNITA</t>
  </si>
  <si>
    <t>SILINDZA</t>
  </si>
  <si>
    <t>HEZEKIAH</t>
  </si>
  <si>
    <t>MPOFU - SIHLONGONYANE</t>
  </si>
  <si>
    <t>MXOLISI</t>
  </si>
  <si>
    <t>SACOLO</t>
  </si>
  <si>
    <t>MPOPOLI</t>
  </si>
  <si>
    <t>DAVID</t>
  </si>
  <si>
    <t>TSELA</t>
  </si>
  <si>
    <t>NELTON</t>
  </si>
  <si>
    <t>ALPHEUS</t>
  </si>
  <si>
    <t>LOVINGTON</t>
  </si>
  <si>
    <t>PJ</t>
  </si>
  <si>
    <t>PIUS JOB</t>
  </si>
  <si>
    <t>CHRISTOPHER</t>
  </si>
  <si>
    <t>THULASIZWE</t>
  </si>
  <si>
    <t>LINDA</t>
  </si>
  <si>
    <t>MKHOSANA</t>
  </si>
  <si>
    <t>TEDDY</t>
  </si>
  <si>
    <t>MABASO</t>
  </si>
  <si>
    <t>MIRRIAM</t>
  </si>
  <si>
    <t>ANDREAS</t>
  </si>
  <si>
    <t>SHIBA</t>
  </si>
  <si>
    <t>JETHRO</t>
  </si>
  <si>
    <t>NGOZO</t>
  </si>
  <si>
    <t>ALEXINAH</t>
  </si>
  <si>
    <t>ALBERT</t>
  </si>
  <si>
    <t>LUSHABA</t>
  </si>
  <si>
    <t>XUBA</t>
  </si>
  <si>
    <t>KATE</t>
  </si>
  <si>
    <t>MSAWENKOSI</t>
  </si>
  <si>
    <t>THWALA</t>
  </si>
  <si>
    <t>NELLIE</t>
  </si>
  <si>
    <t>MAFU</t>
  </si>
  <si>
    <t>DS</t>
  </si>
  <si>
    <t>MHLUNGU</t>
  </si>
  <si>
    <t>PETRINE</t>
  </si>
  <si>
    <t>CYNTHIA</t>
  </si>
  <si>
    <t>VILANE</t>
  </si>
  <si>
    <t>FZ</t>
  </si>
  <si>
    <t>FAITH ZINE</t>
  </si>
  <si>
    <t>MAPHALALA</t>
  </si>
  <si>
    <t>NHLENGETHWA</t>
  </si>
  <si>
    <t>RUTH</t>
  </si>
  <si>
    <t>MSELEKU</t>
  </si>
  <si>
    <t>PANWELL</t>
  </si>
  <si>
    <t>MNCUBE</t>
  </si>
  <si>
    <t>MYRAH BUSISIWE</t>
  </si>
  <si>
    <t>MONICA</t>
  </si>
  <si>
    <t>MKWANAZI</t>
  </si>
  <si>
    <t>ML</t>
  </si>
  <si>
    <t>MADODA LLOYD</t>
  </si>
  <si>
    <t>MAYISELA</t>
  </si>
  <si>
    <t>FRICTION</t>
  </si>
  <si>
    <t>MTHEMBU</t>
  </si>
  <si>
    <t>LUNGILE</t>
  </si>
  <si>
    <t>AN03</t>
  </si>
  <si>
    <t>DV</t>
  </si>
  <si>
    <t>DUMSILE VICKY</t>
  </si>
  <si>
    <t>MAHLALELA</t>
  </si>
  <si>
    <t>THEMBIE</t>
  </si>
  <si>
    <t>NENE</t>
  </si>
  <si>
    <t>MLUNGISI</t>
  </si>
  <si>
    <t>MZIKAYISE</t>
  </si>
  <si>
    <t>HENRY</t>
  </si>
  <si>
    <t>HEZEKIA</t>
  </si>
  <si>
    <t>SHABANGU</t>
  </si>
  <si>
    <t>MAVIS</t>
  </si>
  <si>
    <t>AMOS</t>
  </si>
  <si>
    <t>DUMISANI</t>
  </si>
  <si>
    <t>MASUKU</t>
  </si>
  <si>
    <t>SABELO</t>
  </si>
  <si>
    <t>MBONGISENI</t>
  </si>
  <si>
    <t>MASHWAMA</t>
  </si>
  <si>
    <t>VICTOR</t>
  </si>
  <si>
    <t>MAZIYA</t>
  </si>
  <si>
    <t>PETER</t>
  </si>
  <si>
    <t>NGCAMPHALALA</t>
  </si>
  <si>
    <t>MADLENYA</t>
  </si>
  <si>
    <t>NMP</t>
  </si>
  <si>
    <t>MPHOSTOLI PAUL</t>
  </si>
  <si>
    <t>FAKUDZE</t>
  </si>
  <si>
    <t>ROBERT</t>
  </si>
  <si>
    <t>TRYPHINE</t>
  </si>
  <si>
    <t>ANDY</t>
  </si>
  <si>
    <t>ALEX</t>
  </si>
  <si>
    <t>MACWELE</t>
  </si>
  <si>
    <t>MS</t>
  </si>
  <si>
    <t>MUSA SIMON</t>
  </si>
  <si>
    <t>MABILA</t>
  </si>
  <si>
    <t>VASCO</t>
  </si>
  <si>
    <t>CS</t>
  </si>
  <si>
    <t>CLIFFORD</t>
  </si>
  <si>
    <t>GOODNESS</t>
  </si>
  <si>
    <t>NDUMISO</t>
  </si>
  <si>
    <t>MD</t>
  </si>
  <si>
    <t>MARY</t>
  </si>
  <si>
    <t>EARNEST</t>
  </si>
  <si>
    <t>MKHALIPHI</t>
  </si>
  <si>
    <t>ZANDILE</t>
  </si>
  <si>
    <t>MVANA</t>
  </si>
  <si>
    <t>MDLULI</t>
  </si>
  <si>
    <t>RAYMOND</t>
  </si>
  <si>
    <t>MNDZEBELE</t>
  </si>
  <si>
    <t>SPOUSE</t>
  </si>
  <si>
    <t>101966517_01</t>
  </si>
  <si>
    <t>GB</t>
  </si>
  <si>
    <t>GAGAZA</t>
  </si>
  <si>
    <t>14885_03</t>
  </si>
  <si>
    <t>MASANGO</t>
  </si>
  <si>
    <t>PP</t>
  </si>
  <si>
    <t>PHUMLILE</t>
  </si>
  <si>
    <t>153005_01</t>
  </si>
  <si>
    <t>DELISILE</t>
  </si>
  <si>
    <t>060000038973</t>
  </si>
  <si>
    <t>2032988_01</t>
  </si>
  <si>
    <t>LT</t>
  </si>
  <si>
    <t>LOUISA</t>
  </si>
  <si>
    <t>2046242_01</t>
  </si>
  <si>
    <t>MK</t>
  </si>
  <si>
    <t>MEDDY</t>
  </si>
  <si>
    <t>218346_03</t>
  </si>
  <si>
    <t>MALINGA</t>
  </si>
  <si>
    <t>GS</t>
  </si>
  <si>
    <t>GETRUDE</t>
  </si>
  <si>
    <t>23204_01</t>
  </si>
  <si>
    <t>DLADLA</t>
  </si>
  <si>
    <t>TN</t>
  </si>
  <si>
    <t>TJENGISILE</t>
  </si>
  <si>
    <t>2441362_02</t>
  </si>
  <si>
    <t>DLAMINI - LUKHELE</t>
  </si>
  <si>
    <t>BP</t>
  </si>
  <si>
    <t>BONISILE</t>
  </si>
  <si>
    <t>2745099_01</t>
  </si>
  <si>
    <t>NN</t>
  </si>
  <si>
    <t>NIKIWE</t>
  </si>
  <si>
    <t>28413_02</t>
  </si>
  <si>
    <t>ALICE</t>
  </si>
  <si>
    <t>28513_03</t>
  </si>
  <si>
    <t>29220_01</t>
  </si>
  <si>
    <t>JS</t>
  </si>
  <si>
    <t>JENETH</t>
  </si>
  <si>
    <t>040000359175</t>
  </si>
  <si>
    <t>300054_02</t>
  </si>
  <si>
    <t>MARTINS</t>
  </si>
  <si>
    <t>30033_03</t>
  </si>
  <si>
    <t>ZULU</t>
  </si>
  <si>
    <t>301281_02</t>
  </si>
  <si>
    <t>301293_05</t>
  </si>
  <si>
    <t>SF</t>
  </si>
  <si>
    <t>SITAKELE</t>
  </si>
  <si>
    <t>301490_01</t>
  </si>
  <si>
    <t>CINISILE</t>
  </si>
  <si>
    <t>301714_03</t>
  </si>
  <si>
    <t>LINDIWE</t>
  </si>
  <si>
    <t>302121_02</t>
  </si>
  <si>
    <t>FAITH</t>
  </si>
  <si>
    <t>3116661_01</t>
  </si>
  <si>
    <t>020000030563</t>
  </si>
  <si>
    <t>31171_01</t>
  </si>
  <si>
    <t>ET</t>
  </si>
  <si>
    <t>ESTEL</t>
  </si>
  <si>
    <t>31292_01</t>
  </si>
  <si>
    <t>BL</t>
  </si>
  <si>
    <t>3198799_01</t>
  </si>
  <si>
    <t>RN</t>
  </si>
  <si>
    <t>RICHARD</t>
  </si>
  <si>
    <t>3209019_01</t>
  </si>
  <si>
    <t>GRACE</t>
  </si>
  <si>
    <t>3223231_01</t>
  </si>
  <si>
    <t>NHOSE</t>
  </si>
  <si>
    <t>SONTO</t>
  </si>
  <si>
    <t>32392_02</t>
  </si>
  <si>
    <t>34181_01</t>
  </si>
  <si>
    <t>LOBANTFU</t>
  </si>
  <si>
    <t>35655_01</t>
  </si>
  <si>
    <t>NC</t>
  </si>
  <si>
    <t>3572061_01</t>
  </si>
  <si>
    <t>ZK</t>
  </si>
  <si>
    <t>35752_04</t>
  </si>
  <si>
    <t>36021_01</t>
  </si>
  <si>
    <t>ZEWULA</t>
  </si>
  <si>
    <t>MM</t>
  </si>
  <si>
    <t>MAGAWANE</t>
  </si>
  <si>
    <t>3612284_02</t>
  </si>
  <si>
    <t>MOHALE</t>
  </si>
  <si>
    <t>LEONARD</t>
  </si>
  <si>
    <t>36729_01</t>
  </si>
  <si>
    <t>3682603_01</t>
  </si>
  <si>
    <t>NR</t>
  </si>
  <si>
    <t>4000569_01</t>
  </si>
  <si>
    <t>4030188_01</t>
  </si>
  <si>
    <t>JL</t>
  </si>
  <si>
    <t>JEMA</t>
  </si>
  <si>
    <t>4136851_04</t>
  </si>
  <si>
    <t>NJ</t>
  </si>
  <si>
    <t>NTOMBIZODWA</t>
  </si>
  <si>
    <t>4292322_01</t>
  </si>
  <si>
    <t>BUSENGA</t>
  </si>
  <si>
    <t>060000046879</t>
  </si>
  <si>
    <t>4317724_01</t>
  </si>
  <si>
    <t>MPHIKELELI</t>
  </si>
  <si>
    <t>4385725_01</t>
  </si>
  <si>
    <t>4661322_01</t>
  </si>
  <si>
    <t>VILAKATI</t>
  </si>
  <si>
    <t>4725262_01</t>
  </si>
  <si>
    <t>THULI</t>
  </si>
  <si>
    <t>5066768_01</t>
  </si>
  <si>
    <t>THOKO</t>
  </si>
  <si>
    <t>5324_01</t>
  </si>
  <si>
    <t>SENZO</t>
  </si>
  <si>
    <t>55632_01</t>
  </si>
  <si>
    <t>EL</t>
  </si>
  <si>
    <t>EDDIE</t>
  </si>
  <si>
    <t>6182793_01</t>
  </si>
  <si>
    <t>MLOTSHWA</t>
  </si>
  <si>
    <t>HAZEL</t>
  </si>
  <si>
    <t>6203335_01</t>
  </si>
  <si>
    <t>HLATSHWAKO</t>
  </si>
  <si>
    <t>EF</t>
  </si>
  <si>
    <t>6636443_01</t>
  </si>
  <si>
    <t>SITHOLE</t>
  </si>
  <si>
    <t>AS</t>
  </si>
  <si>
    <t>ALVINAH</t>
  </si>
  <si>
    <t>7026861_01</t>
  </si>
  <si>
    <t>NS</t>
  </si>
  <si>
    <t>NTOMBI</t>
  </si>
  <si>
    <t>7029682_01</t>
  </si>
  <si>
    <t>SW</t>
  </si>
  <si>
    <t>70559_04</t>
  </si>
  <si>
    <t>MT</t>
  </si>
  <si>
    <t>MABLE</t>
  </si>
  <si>
    <t>7064975_01</t>
  </si>
  <si>
    <t>BZ</t>
  </si>
  <si>
    <t>BEAUTY</t>
  </si>
  <si>
    <t>7266438_01</t>
  </si>
  <si>
    <t>PHILILE</t>
  </si>
  <si>
    <t>8150408_01</t>
  </si>
  <si>
    <t>HLANZE</t>
  </si>
  <si>
    <t>9174290_01</t>
  </si>
  <si>
    <t>M K</t>
  </si>
  <si>
    <t>MBUSO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</si>
</sst>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970A-0404-48D2-9BB8-996E18A7C60B}">
  <dimension ref="A1:AC230"/>
  <sheetViews>
    <sheetView tabSelected="1" workbookViewId="0">
      <selection sqref="A1:XFD1048576"/>
    </sheetView>
  </sheetViews>
  <sheetFormatPr defaultColWidth="8.77734375" defaultRowHeight="14.4" x14ac:dyDescent="0.3"/>
  <cols>
    <col min="1" max="1" width="24.109375" style="4" customWidth="1"/>
    <col min="2" max="2" width="22.44140625" style="4" bestFit="1" customWidth="1"/>
    <col min="3" max="3" width="17.77734375" style="4" customWidth="1"/>
    <col min="4" max="4" width="20" style="4" customWidth="1"/>
    <col min="5" max="5" width="7.44140625" style="4" bestFit="1" customWidth="1"/>
    <col min="6" max="6" width="14.77734375" style="4" customWidth="1"/>
    <col min="7" max="7" width="16.77734375" style="4" customWidth="1"/>
    <col min="8" max="8" width="11.21875" style="4" customWidth="1"/>
    <col min="9" max="9" width="11.6640625" style="4" customWidth="1"/>
    <col min="10" max="10" width="11.77734375" style="4" customWidth="1"/>
    <col min="11" max="11" width="18.5546875" style="6" bestFit="1" customWidth="1"/>
    <col min="12" max="12" width="10.44140625" style="4" bestFit="1" customWidth="1"/>
    <col min="13" max="13" width="14.33203125" style="4" bestFit="1" customWidth="1"/>
    <col min="14" max="14" width="17.88671875" style="4" bestFit="1" customWidth="1"/>
    <col min="15" max="15" width="9" style="4" bestFit="1" customWidth="1"/>
    <col min="16" max="16" width="24.6640625" style="4" bestFit="1" customWidth="1"/>
    <col min="17" max="17" width="19.6640625" style="4" bestFit="1" customWidth="1"/>
    <col min="18" max="18" width="16.44140625" style="4" bestFit="1" customWidth="1"/>
    <col min="19" max="19" width="13.44140625" style="4" bestFit="1" customWidth="1"/>
    <col min="20" max="20" width="23" style="4" bestFit="1" customWidth="1"/>
    <col min="21" max="21" width="11.88671875" style="4" bestFit="1" customWidth="1"/>
    <col min="22" max="22" width="18.88671875" style="4" bestFit="1" customWidth="1"/>
    <col min="23" max="23" width="7.6640625" style="4" bestFit="1" customWidth="1"/>
    <col min="24" max="24" width="12.88671875" style="4" bestFit="1" customWidth="1"/>
    <col min="25" max="25" width="15.109375" style="4" bestFit="1" customWidth="1"/>
    <col min="26" max="26" width="16.6640625" style="4" bestFit="1" customWidth="1"/>
    <col min="27" max="27" width="26.44140625" style="4" bestFit="1" customWidth="1"/>
    <col min="28" max="28" width="40.33203125" style="4" bestFit="1" customWidth="1"/>
    <col min="29" max="29" width="17.77734375" style="4" bestFit="1" customWidth="1"/>
    <col min="30" max="16384" width="8.77734375" style="4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4" t="s">
        <v>29</v>
      </c>
      <c r="B2" s="4">
        <v>31655</v>
      </c>
      <c r="C2" s="4">
        <v>31655</v>
      </c>
      <c r="D2" s="4" t="s">
        <v>30</v>
      </c>
      <c r="E2" s="4" t="s">
        <v>31</v>
      </c>
      <c r="F2" s="4" t="s">
        <v>32</v>
      </c>
      <c r="G2" s="5">
        <v>23156</v>
      </c>
      <c r="H2" s="4">
        <f>DAY(G2)</f>
        <v>25</v>
      </c>
      <c r="I2" s="4">
        <f>MONTH(G2)</f>
        <v>5</v>
      </c>
      <c r="J2" s="4">
        <f>YEAR(G2)</f>
        <v>1963</v>
      </c>
      <c r="K2" s="6">
        <v>6006026100256</v>
      </c>
      <c r="L2" s="5">
        <v>38200</v>
      </c>
      <c r="M2" s="5">
        <v>45474</v>
      </c>
      <c r="N2" s="5">
        <v>45838</v>
      </c>
      <c r="O2" s="4">
        <v>2395.83</v>
      </c>
      <c r="P2" s="4">
        <v>1</v>
      </c>
      <c r="Q2" s="4" t="s">
        <v>33</v>
      </c>
      <c r="R2" s="4" t="s">
        <v>34</v>
      </c>
      <c r="S2" s="4">
        <v>90001</v>
      </c>
      <c r="T2" s="4">
        <v>51000029436</v>
      </c>
      <c r="U2" s="4">
        <v>0</v>
      </c>
      <c r="V2" s="4">
        <v>0</v>
      </c>
      <c r="W2" s="4">
        <v>0</v>
      </c>
      <c r="X2" s="4">
        <v>0</v>
      </c>
      <c r="Y2" s="4">
        <v>2395.83</v>
      </c>
      <c r="Z2" s="4">
        <v>2395.83</v>
      </c>
      <c r="AA2" s="4" t="s">
        <v>35</v>
      </c>
      <c r="AB2" s="4" t="s">
        <v>36</v>
      </c>
    </row>
    <row r="3" spans="1:29" x14ac:dyDescent="0.3">
      <c r="A3" s="4" t="s">
        <v>29</v>
      </c>
      <c r="B3" s="4">
        <v>31901</v>
      </c>
      <c r="C3" s="4">
        <v>31901</v>
      </c>
      <c r="D3" s="4" t="s">
        <v>37</v>
      </c>
      <c r="E3" s="4" t="s">
        <v>38</v>
      </c>
      <c r="F3" s="4" t="s">
        <v>39</v>
      </c>
      <c r="G3" s="5">
        <v>19139</v>
      </c>
      <c r="H3" s="4">
        <f>DAY(G3)</f>
        <v>25</v>
      </c>
      <c r="I3" s="4">
        <f>MONTH(G3)</f>
        <v>5</v>
      </c>
      <c r="J3" s="4">
        <f>YEAR(G3)</f>
        <v>1952</v>
      </c>
      <c r="K3" s="6">
        <v>5205251100012</v>
      </c>
      <c r="L3" s="5">
        <v>38200</v>
      </c>
      <c r="M3" s="5">
        <v>45474</v>
      </c>
      <c r="N3" s="5">
        <v>45838</v>
      </c>
      <c r="O3" s="4">
        <v>2286.5700000000002</v>
      </c>
      <c r="P3" s="4">
        <v>1</v>
      </c>
      <c r="Q3" s="4" t="s">
        <v>33</v>
      </c>
      <c r="R3" s="4" t="s">
        <v>34</v>
      </c>
      <c r="S3" s="4">
        <v>90003</v>
      </c>
      <c r="T3" s="4">
        <v>51000370014</v>
      </c>
      <c r="U3" s="4">
        <v>0</v>
      </c>
      <c r="V3" s="4">
        <v>0</v>
      </c>
      <c r="W3" s="4">
        <v>0</v>
      </c>
      <c r="X3" s="4">
        <v>0</v>
      </c>
      <c r="Y3" s="4">
        <v>2286.5700000000002</v>
      </c>
      <c r="Z3" s="4">
        <v>2286.5700000000002</v>
      </c>
      <c r="AA3" s="4" t="s">
        <v>35</v>
      </c>
    </row>
    <row r="4" spans="1:29" x14ac:dyDescent="0.3">
      <c r="A4" s="4" t="s">
        <v>29</v>
      </c>
      <c r="B4" s="4">
        <v>35577</v>
      </c>
      <c r="C4" s="4">
        <v>35577</v>
      </c>
      <c r="D4" s="4" t="s">
        <v>40</v>
      </c>
      <c r="E4" s="4" t="s">
        <v>41</v>
      </c>
      <c r="F4" s="4" t="s">
        <v>42</v>
      </c>
      <c r="G4" s="5">
        <v>17292</v>
      </c>
      <c r="H4" s="4">
        <f>DAY(G4)</f>
        <v>5</v>
      </c>
      <c r="I4" s="4">
        <f>MONTH(G4)</f>
        <v>5</v>
      </c>
      <c r="J4" s="4">
        <f>YEAR(G4)</f>
        <v>1947</v>
      </c>
      <c r="K4" s="6">
        <v>4705056100043</v>
      </c>
      <c r="L4" s="5">
        <v>38200</v>
      </c>
      <c r="M4" s="5">
        <v>45474</v>
      </c>
      <c r="N4" s="5">
        <v>45838</v>
      </c>
      <c r="O4" s="4">
        <v>5567.18</v>
      </c>
      <c r="P4" s="4">
        <v>1</v>
      </c>
      <c r="Q4" s="4" t="s">
        <v>33</v>
      </c>
      <c r="R4" s="4" t="s">
        <v>34</v>
      </c>
      <c r="S4" s="4">
        <v>90005</v>
      </c>
      <c r="T4" s="4">
        <v>51000975226</v>
      </c>
      <c r="U4" s="4">
        <v>0</v>
      </c>
      <c r="V4" s="4">
        <v>0</v>
      </c>
      <c r="W4" s="4">
        <v>0</v>
      </c>
      <c r="X4" s="4">
        <v>205.1</v>
      </c>
      <c r="Y4" s="4">
        <v>5567.18</v>
      </c>
      <c r="Z4" s="4">
        <v>5362.08</v>
      </c>
      <c r="AA4" s="4" t="s">
        <v>35</v>
      </c>
      <c r="AB4" s="4" t="s">
        <v>36</v>
      </c>
    </row>
    <row r="5" spans="1:29" x14ac:dyDescent="0.3">
      <c r="A5" s="4" t="s">
        <v>29</v>
      </c>
      <c r="B5" s="4">
        <v>35950</v>
      </c>
      <c r="C5" s="4">
        <v>35950</v>
      </c>
      <c r="D5" s="4" t="s">
        <v>37</v>
      </c>
      <c r="E5" s="4" t="s">
        <v>38</v>
      </c>
      <c r="F5" s="4" t="s">
        <v>43</v>
      </c>
      <c r="G5" s="5">
        <v>14387</v>
      </c>
      <c r="H5" s="4">
        <f>DAY(G5)</f>
        <v>22</v>
      </c>
      <c r="I5" s="4">
        <f>MONTH(G5)</f>
        <v>5</v>
      </c>
      <c r="J5" s="4">
        <f>YEAR(G5)</f>
        <v>1939</v>
      </c>
      <c r="K5" s="6">
        <v>3905211100059</v>
      </c>
      <c r="L5" s="5">
        <v>38200</v>
      </c>
      <c r="M5" s="5">
        <v>45474</v>
      </c>
      <c r="N5" s="5">
        <v>45838</v>
      </c>
      <c r="O5" s="4">
        <v>2088.31</v>
      </c>
      <c r="P5" s="4">
        <v>1</v>
      </c>
      <c r="Q5" s="4" t="s">
        <v>33</v>
      </c>
      <c r="R5" s="4" t="s">
        <v>34</v>
      </c>
      <c r="S5" s="4">
        <v>660464</v>
      </c>
      <c r="T5" s="4">
        <v>9110003211714</v>
      </c>
      <c r="U5" s="4">
        <v>70</v>
      </c>
      <c r="V5" s="4">
        <v>0</v>
      </c>
      <c r="W5" s="4">
        <v>0</v>
      </c>
      <c r="X5" s="4">
        <v>0</v>
      </c>
      <c r="Y5" s="4">
        <v>2088.31</v>
      </c>
      <c r="Z5" s="4">
        <v>2018.31</v>
      </c>
      <c r="AA5" s="4" t="s">
        <v>35</v>
      </c>
      <c r="AB5" s="4" t="s">
        <v>36</v>
      </c>
    </row>
    <row r="6" spans="1:29" x14ac:dyDescent="0.3">
      <c r="A6" s="4" t="s">
        <v>29</v>
      </c>
      <c r="B6" s="4">
        <v>36082</v>
      </c>
      <c r="C6" s="4">
        <v>36082</v>
      </c>
      <c r="D6" s="4" t="s">
        <v>44</v>
      </c>
      <c r="E6" s="4" t="s">
        <v>45</v>
      </c>
      <c r="F6" s="4" t="s">
        <v>46</v>
      </c>
      <c r="G6" s="5">
        <v>12906</v>
      </c>
      <c r="H6" s="4">
        <f>DAY(G6)</f>
        <v>2</v>
      </c>
      <c r="I6" s="4">
        <f>MONTH(G6)</f>
        <v>5</v>
      </c>
      <c r="J6" s="4">
        <f>YEAR(G6)</f>
        <v>1935</v>
      </c>
      <c r="K6" s="6">
        <v>3505021100032</v>
      </c>
      <c r="L6" s="5">
        <v>38200</v>
      </c>
      <c r="M6" s="5">
        <v>45474</v>
      </c>
      <c r="N6" s="5">
        <v>45838</v>
      </c>
      <c r="O6" s="4">
        <v>2096.38</v>
      </c>
      <c r="P6" s="4">
        <v>1</v>
      </c>
      <c r="Q6" s="4" t="s">
        <v>33</v>
      </c>
      <c r="R6" s="4" t="s">
        <v>34</v>
      </c>
      <c r="S6" s="4">
        <v>360164</v>
      </c>
      <c r="T6" s="7" t="s">
        <v>47</v>
      </c>
      <c r="U6" s="4">
        <v>0</v>
      </c>
      <c r="V6" s="4">
        <v>0</v>
      </c>
      <c r="W6" s="4">
        <v>0</v>
      </c>
      <c r="X6" s="4">
        <v>0</v>
      </c>
      <c r="Y6" s="4">
        <v>2096.38</v>
      </c>
      <c r="Z6" s="4">
        <v>2096.38</v>
      </c>
      <c r="AA6" s="4" t="s">
        <v>35</v>
      </c>
      <c r="AB6" s="4" t="s">
        <v>36</v>
      </c>
    </row>
    <row r="7" spans="1:29" x14ac:dyDescent="0.3">
      <c r="A7" s="4" t="s">
        <v>29</v>
      </c>
      <c r="B7" s="4">
        <v>36096</v>
      </c>
      <c r="C7" s="4">
        <v>36096</v>
      </c>
      <c r="D7" s="4" t="s">
        <v>48</v>
      </c>
      <c r="E7" s="4" t="s">
        <v>38</v>
      </c>
      <c r="F7" s="4" t="s">
        <v>49</v>
      </c>
      <c r="G7" s="5">
        <v>11088</v>
      </c>
      <c r="H7" s="4">
        <f>DAY(G7)</f>
        <v>10</v>
      </c>
      <c r="I7" s="4">
        <f>MONTH(G7)</f>
        <v>5</v>
      </c>
      <c r="J7" s="4">
        <f>YEAR(G7)</f>
        <v>1930</v>
      </c>
      <c r="K7" s="6">
        <v>3005101100317</v>
      </c>
      <c r="L7" s="5">
        <v>38200</v>
      </c>
      <c r="M7" s="5">
        <v>45474</v>
      </c>
      <c r="N7" s="5">
        <v>45838</v>
      </c>
      <c r="O7" s="4">
        <v>2626.71</v>
      </c>
      <c r="P7" s="4">
        <v>1</v>
      </c>
      <c r="Q7" s="4" t="s">
        <v>33</v>
      </c>
      <c r="R7" s="4" t="s">
        <v>34</v>
      </c>
      <c r="S7" s="4">
        <v>660564</v>
      </c>
      <c r="T7" s="4">
        <v>9110003633481</v>
      </c>
      <c r="U7" s="4">
        <v>0</v>
      </c>
      <c r="V7" s="4">
        <v>0</v>
      </c>
      <c r="W7" s="4">
        <v>0</v>
      </c>
      <c r="X7" s="4">
        <v>0</v>
      </c>
      <c r="Y7" s="4">
        <v>2626.71</v>
      </c>
      <c r="Z7" s="4">
        <v>2626.71</v>
      </c>
      <c r="AA7" s="4" t="s">
        <v>35</v>
      </c>
    </row>
    <row r="8" spans="1:29" x14ac:dyDescent="0.3">
      <c r="A8" s="4" t="s">
        <v>29</v>
      </c>
      <c r="B8" s="4">
        <v>36814</v>
      </c>
      <c r="C8" s="4">
        <v>36814</v>
      </c>
      <c r="D8" s="4" t="s">
        <v>37</v>
      </c>
      <c r="E8" s="4" t="s">
        <v>38</v>
      </c>
      <c r="F8" s="4" t="s">
        <v>50</v>
      </c>
      <c r="G8" s="5">
        <v>12202</v>
      </c>
      <c r="H8" s="4">
        <f>DAY(G8)</f>
        <v>28</v>
      </c>
      <c r="I8" s="4">
        <f>MONTH(G8)</f>
        <v>5</v>
      </c>
      <c r="J8" s="4">
        <f>YEAR(G8)</f>
        <v>1933</v>
      </c>
      <c r="K8" s="6">
        <v>3306281100016</v>
      </c>
      <c r="L8" s="5">
        <v>38200</v>
      </c>
      <c r="M8" s="5">
        <v>45474</v>
      </c>
      <c r="N8" s="5">
        <v>45838</v>
      </c>
      <c r="O8" s="4">
        <v>6760.22</v>
      </c>
      <c r="P8" s="4">
        <v>1</v>
      </c>
      <c r="Q8" s="4" t="s">
        <v>33</v>
      </c>
      <c r="R8" s="4" t="s">
        <v>34</v>
      </c>
      <c r="S8" s="4">
        <v>661164</v>
      </c>
      <c r="T8" s="4">
        <v>9110000488308</v>
      </c>
      <c r="U8" s="4">
        <v>0</v>
      </c>
      <c r="V8" s="4">
        <v>0</v>
      </c>
      <c r="W8" s="4">
        <v>0</v>
      </c>
      <c r="X8" s="4">
        <v>443.71</v>
      </c>
      <c r="Y8" s="4">
        <v>6760.22</v>
      </c>
      <c r="Z8" s="4">
        <v>6316.51</v>
      </c>
      <c r="AA8" s="4" t="s">
        <v>35</v>
      </c>
    </row>
    <row r="9" spans="1:29" x14ac:dyDescent="0.3">
      <c r="A9" s="4" t="s">
        <v>29</v>
      </c>
      <c r="B9" s="4">
        <v>54933</v>
      </c>
      <c r="C9" s="4">
        <v>54933</v>
      </c>
      <c r="D9" s="4" t="s">
        <v>40</v>
      </c>
      <c r="E9" s="4" t="s">
        <v>51</v>
      </c>
      <c r="F9" s="4" t="s">
        <v>52</v>
      </c>
      <c r="G9" s="5">
        <v>14739</v>
      </c>
      <c r="H9" s="4">
        <f>DAY(G9)</f>
        <v>8</v>
      </c>
      <c r="I9" s="4">
        <f>MONTH(G9)</f>
        <v>5</v>
      </c>
      <c r="J9" s="4">
        <f>YEAR(G9)</f>
        <v>1940</v>
      </c>
      <c r="K9" s="6">
        <v>4004226100087</v>
      </c>
      <c r="L9" s="5">
        <v>38200</v>
      </c>
      <c r="M9" s="5">
        <v>45474</v>
      </c>
      <c r="N9" s="5">
        <v>45838</v>
      </c>
      <c r="O9" s="4">
        <v>1920.57</v>
      </c>
      <c r="P9" s="4">
        <v>1</v>
      </c>
      <c r="Q9" s="4" t="s">
        <v>33</v>
      </c>
      <c r="R9" s="4" t="s">
        <v>34</v>
      </c>
      <c r="S9" s="4">
        <v>90001</v>
      </c>
      <c r="T9" s="4">
        <v>52001112661</v>
      </c>
      <c r="U9" s="4">
        <v>0</v>
      </c>
      <c r="V9" s="4">
        <v>0</v>
      </c>
      <c r="W9" s="4">
        <v>0</v>
      </c>
      <c r="X9" s="4">
        <v>0</v>
      </c>
      <c r="Y9" s="4">
        <v>1920.57</v>
      </c>
      <c r="Z9" s="4">
        <v>1920.57</v>
      </c>
      <c r="AA9" s="4" t="s">
        <v>35</v>
      </c>
      <c r="AB9" s="4" t="s">
        <v>36</v>
      </c>
    </row>
    <row r="10" spans="1:29" x14ac:dyDescent="0.3">
      <c r="A10" s="4" t="s">
        <v>29</v>
      </c>
      <c r="B10" s="4">
        <v>218339</v>
      </c>
      <c r="C10" s="4">
        <v>218339</v>
      </c>
      <c r="D10" s="4" t="s">
        <v>53</v>
      </c>
      <c r="E10" s="4" t="s">
        <v>54</v>
      </c>
      <c r="F10" s="4" t="s">
        <v>55</v>
      </c>
      <c r="G10" s="5">
        <v>16216</v>
      </c>
      <c r="H10" s="4">
        <f>DAY(G10)</f>
        <v>24</v>
      </c>
      <c r="I10" s="4">
        <f>MONTH(G10)</f>
        <v>5</v>
      </c>
      <c r="J10" s="4">
        <f>YEAR(G10)</f>
        <v>1944</v>
      </c>
      <c r="K10" s="6">
        <v>4305246100035</v>
      </c>
      <c r="L10" s="5">
        <v>38200</v>
      </c>
      <c r="M10" s="5">
        <v>45474</v>
      </c>
      <c r="N10" s="5">
        <v>45838</v>
      </c>
      <c r="O10" s="4">
        <v>5598.38</v>
      </c>
      <c r="P10" s="4">
        <v>1</v>
      </c>
      <c r="Q10" s="4" t="s">
        <v>33</v>
      </c>
      <c r="R10" s="4" t="s">
        <v>34</v>
      </c>
      <c r="S10" s="4">
        <v>770002</v>
      </c>
      <c r="T10" s="4">
        <v>77015590810</v>
      </c>
      <c r="U10" s="4">
        <v>255</v>
      </c>
      <c r="V10" s="4">
        <v>0</v>
      </c>
      <c r="W10" s="4">
        <v>0</v>
      </c>
      <c r="X10" s="4">
        <v>211.34</v>
      </c>
      <c r="Y10" s="4">
        <v>5598.38</v>
      </c>
      <c r="Z10" s="4">
        <v>5132.04</v>
      </c>
      <c r="AA10" s="4" t="s">
        <v>35</v>
      </c>
    </row>
    <row r="11" spans="1:29" x14ac:dyDescent="0.3">
      <c r="A11" s="4" t="s">
        <v>29</v>
      </c>
      <c r="B11" s="4">
        <v>219034</v>
      </c>
      <c r="C11" s="4">
        <v>219034</v>
      </c>
      <c r="D11" s="4" t="s">
        <v>37</v>
      </c>
      <c r="E11" s="4" t="s">
        <v>56</v>
      </c>
      <c r="F11" s="4" t="s">
        <v>57</v>
      </c>
      <c r="G11" s="5">
        <v>16198</v>
      </c>
      <c r="H11" s="4">
        <f>DAY(G11)</f>
        <v>6</v>
      </c>
      <c r="I11" s="4">
        <f>MONTH(G11)</f>
        <v>5</v>
      </c>
      <c r="J11" s="4">
        <f>YEAR(G11)</f>
        <v>1944</v>
      </c>
      <c r="K11" s="6">
        <v>4401306100021</v>
      </c>
      <c r="L11" s="5">
        <v>38114</v>
      </c>
      <c r="M11" s="5">
        <v>45474</v>
      </c>
      <c r="N11" s="5">
        <v>45838</v>
      </c>
      <c r="O11" s="4">
        <v>2015.65</v>
      </c>
      <c r="P11" s="4">
        <v>1</v>
      </c>
      <c r="Q11" s="4" t="s">
        <v>33</v>
      </c>
      <c r="R11" s="4" t="s">
        <v>34</v>
      </c>
      <c r="S11" s="4">
        <v>90001</v>
      </c>
      <c r="T11" s="4">
        <v>51001310937</v>
      </c>
      <c r="U11" s="4">
        <v>0</v>
      </c>
      <c r="V11" s="4">
        <v>0</v>
      </c>
      <c r="W11" s="4">
        <v>0</v>
      </c>
      <c r="X11" s="4">
        <v>0</v>
      </c>
      <c r="Y11" s="4">
        <v>2015.65</v>
      </c>
      <c r="Z11" s="4">
        <v>2015.65</v>
      </c>
      <c r="AA11" s="4" t="s">
        <v>35</v>
      </c>
    </row>
    <row r="12" spans="1:29" x14ac:dyDescent="0.3">
      <c r="A12" s="4" t="s">
        <v>29</v>
      </c>
      <c r="B12" s="4">
        <v>10076828</v>
      </c>
      <c r="C12" s="4">
        <v>10076828</v>
      </c>
      <c r="D12" s="4" t="s">
        <v>58</v>
      </c>
      <c r="E12" s="4" t="s">
        <v>59</v>
      </c>
      <c r="F12" s="4" t="s">
        <v>60</v>
      </c>
      <c r="G12" s="5">
        <v>26794</v>
      </c>
      <c r="H12" s="4">
        <f>DAY(G12)</f>
        <v>10</v>
      </c>
      <c r="I12" s="4">
        <f>MONTH(G12)</f>
        <v>5</v>
      </c>
      <c r="J12" s="4">
        <f>YEAR(G12)</f>
        <v>1973</v>
      </c>
      <c r="K12" s="6">
        <v>7305106100353</v>
      </c>
      <c r="L12" s="5">
        <v>44440</v>
      </c>
      <c r="M12" s="5">
        <v>45474</v>
      </c>
      <c r="N12" s="5">
        <v>45838</v>
      </c>
      <c r="O12" s="4">
        <v>1960.85</v>
      </c>
      <c r="P12" s="4">
        <v>1</v>
      </c>
      <c r="Q12" s="4" t="s">
        <v>33</v>
      </c>
      <c r="R12" s="4" t="s">
        <v>34</v>
      </c>
      <c r="S12" s="4">
        <v>280164</v>
      </c>
      <c r="T12" s="4">
        <v>62130498464</v>
      </c>
      <c r="U12" s="4">
        <v>0</v>
      </c>
      <c r="V12" s="4">
        <v>0</v>
      </c>
      <c r="W12" s="4">
        <v>0</v>
      </c>
      <c r="X12" s="4">
        <v>0</v>
      </c>
      <c r="Y12" s="4">
        <v>1960.85</v>
      </c>
      <c r="Z12" s="4">
        <v>1960.85</v>
      </c>
      <c r="AA12" s="4" t="s">
        <v>35</v>
      </c>
    </row>
    <row r="13" spans="1:29" x14ac:dyDescent="0.3">
      <c r="A13" s="4" t="s">
        <v>29</v>
      </c>
      <c r="B13" s="4">
        <v>13987</v>
      </c>
      <c r="C13" s="4">
        <v>13987</v>
      </c>
      <c r="D13" s="4" t="s">
        <v>61</v>
      </c>
      <c r="E13" s="4" t="s">
        <v>31</v>
      </c>
      <c r="F13" s="4" t="s">
        <v>62</v>
      </c>
      <c r="G13" s="5">
        <v>16561</v>
      </c>
      <c r="H13" s="4">
        <f>DAY(G13)</f>
        <v>4</v>
      </c>
      <c r="I13" s="4">
        <f>MONTH(G13)</f>
        <v>5</v>
      </c>
      <c r="J13" s="4">
        <f>YEAR(G13)</f>
        <v>1945</v>
      </c>
      <c r="K13" s="6">
        <v>4507076100080</v>
      </c>
      <c r="L13" s="5">
        <v>38777</v>
      </c>
      <c r="M13" s="5">
        <v>45474</v>
      </c>
      <c r="N13" s="5">
        <v>45838</v>
      </c>
      <c r="O13" s="4">
        <v>1920.57</v>
      </c>
      <c r="P13" s="4">
        <v>1</v>
      </c>
      <c r="Q13" s="4" t="s">
        <v>33</v>
      </c>
      <c r="R13" s="4" t="s">
        <v>34</v>
      </c>
      <c r="S13" s="4">
        <v>770003</v>
      </c>
      <c r="T13" s="4">
        <v>3040116099101</v>
      </c>
      <c r="U13" s="4">
        <v>0</v>
      </c>
      <c r="V13" s="4">
        <v>0</v>
      </c>
      <c r="W13" s="4">
        <v>0</v>
      </c>
      <c r="X13" s="4">
        <v>0</v>
      </c>
      <c r="Y13" s="4">
        <v>1920.57</v>
      </c>
      <c r="Z13" s="4">
        <v>1920.57</v>
      </c>
      <c r="AA13" s="4" t="s">
        <v>35</v>
      </c>
      <c r="AB13" s="4" t="s">
        <v>36</v>
      </c>
    </row>
    <row r="14" spans="1:29" x14ac:dyDescent="0.3">
      <c r="A14" s="4" t="s">
        <v>29</v>
      </c>
      <c r="B14" s="4">
        <v>2015505</v>
      </c>
      <c r="C14" s="4">
        <v>2015505</v>
      </c>
      <c r="D14" s="4" t="s">
        <v>37</v>
      </c>
      <c r="E14" s="4" t="s">
        <v>63</v>
      </c>
      <c r="F14" s="4" t="s">
        <v>64</v>
      </c>
      <c r="G14" s="5">
        <v>18408</v>
      </c>
      <c r="H14" s="4">
        <f>DAY(G14)</f>
        <v>25</v>
      </c>
      <c r="I14" s="4">
        <f>MONTH(G14)</f>
        <v>5</v>
      </c>
      <c r="J14" s="4">
        <f>YEAR(G14)</f>
        <v>1950</v>
      </c>
      <c r="K14" s="6">
        <v>5009016100071</v>
      </c>
      <c r="L14" s="5">
        <v>40330</v>
      </c>
      <c r="M14" s="5">
        <v>45474</v>
      </c>
      <c r="N14" s="5">
        <v>45838</v>
      </c>
      <c r="O14" s="4">
        <v>1920.57</v>
      </c>
      <c r="P14" s="4">
        <v>1</v>
      </c>
      <c r="Q14" s="4" t="s">
        <v>33</v>
      </c>
      <c r="R14" s="4" t="s">
        <v>34</v>
      </c>
      <c r="S14" s="4">
        <v>770002</v>
      </c>
      <c r="T14" s="4">
        <v>2040111502501</v>
      </c>
      <c r="U14" s="4">
        <v>0</v>
      </c>
      <c r="V14" s="4">
        <v>0</v>
      </c>
      <c r="W14" s="4">
        <v>0</v>
      </c>
      <c r="X14" s="4">
        <v>0</v>
      </c>
      <c r="Y14" s="4">
        <v>1920.57</v>
      </c>
      <c r="Z14" s="4">
        <v>1920.57</v>
      </c>
      <c r="AA14" s="4" t="s">
        <v>35</v>
      </c>
    </row>
    <row r="15" spans="1:29" x14ac:dyDescent="0.3">
      <c r="A15" s="4" t="s">
        <v>29</v>
      </c>
      <c r="B15" s="4">
        <v>2062741</v>
      </c>
      <c r="C15" s="4">
        <v>2062741</v>
      </c>
      <c r="D15" s="4" t="s">
        <v>65</v>
      </c>
      <c r="E15" s="4" t="s">
        <v>56</v>
      </c>
      <c r="F15" s="4" t="s">
        <v>66</v>
      </c>
      <c r="G15" s="5">
        <v>18753</v>
      </c>
      <c r="H15" s="4">
        <f>DAY(G15)</f>
        <v>5</v>
      </c>
      <c r="I15" s="4">
        <f>MONTH(G15)</f>
        <v>5</v>
      </c>
      <c r="J15" s="4">
        <f>YEAR(G15)</f>
        <v>1951</v>
      </c>
      <c r="K15" s="6">
        <v>5105056100037</v>
      </c>
      <c r="L15" s="5">
        <v>40330</v>
      </c>
      <c r="M15" s="5">
        <v>45474</v>
      </c>
      <c r="N15" s="5">
        <v>45838</v>
      </c>
      <c r="O15" s="4">
        <v>7441.43</v>
      </c>
      <c r="P15" s="4">
        <v>1</v>
      </c>
      <c r="Q15" s="4" t="s">
        <v>33</v>
      </c>
      <c r="R15" s="4" t="s">
        <v>34</v>
      </c>
      <c r="S15" s="4">
        <v>770001</v>
      </c>
      <c r="T15" s="4">
        <v>1040113747801</v>
      </c>
      <c r="U15" s="4">
        <v>0</v>
      </c>
      <c r="V15" s="4">
        <v>0</v>
      </c>
      <c r="W15" s="4">
        <v>0</v>
      </c>
      <c r="X15" s="4">
        <v>579.95000000000005</v>
      </c>
      <c r="Y15" s="4">
        <v>7441.43</v>
      </c>
      <c r="Z15" s="4">
        <v>6861.48</v>
      </c>
      <c r="AA15" s="4" t="s">
        <v>35</v>
      </c>
    </row>
    <row r="16" spans="1:29" x14ac:dyDescent="0.3">
      <c r="A16" s="4" t="s">
        <v>29</v>
      </c>
      <c r="B16" s="4">
        <v>2113177</v>
      </c>
      <c r="C16" s="4">
        <v>2113177</v>
      </c>
      <c r="D16" s="4" t="s">
        <v>37</v>
      </c>
      <c r="E16" s="4" t="s">
        <v>38</v>
      </c>
      <c r="F16" s="4" t="s">
        <v>67</v>
      </c>
      <c r="G16" s="5">
        <v>19866</v>
      </c>
      <c r="H16" s="4">
        <f>DAY(G16)</f>
        <v>22</v>
      </c>
      <c r="I16" s="4">
        <f>MONTH(G16)</f>
        <v>5</v>
      </c>
      <c r="J16" s="4">
        <f>YEAR(G16)</f>
        <v>1954</v>
      </c>
      <c r="K16" s="6">
        <v>5405226100010</v>
      </c>
      <c r="L16" s="5">
        <v>41791</v>
      </c>
      <c r="M16" s="5">
        <v>45474</v>
      </c>
      <c r="N16" s="5">
        <v>45838</v>
      </c>
      <c r="O16" s="4">
        <v>25204.74</v>
      </c>
      <c r="P16" s="4">
        <v>1</v>
      </c>
      <c r="Q16" s="4" t="s">
        <v>33</v>
      </c>
      <c r="R16" s="4" t="s">
        <v>34</v>
      </c>
      <c r="S16" s="4">
        <v>663164</v>
      </c>
      <c r="T16" s="4">
        <v>9110003517945</v>
      </c>
      <c r="U16" s="4">
        <v>0</v>
      </c>
      <c r="V16" s="4">
        <v>0</v>
      </c>
      <c r="W16" s="4">
        <v>0</v>
      </c>
      <c r="X16" s="4">
        <v>5867.56</v>
      </c>
      <c r="Y16" s="4">
        <v>25204.74</v>
      </c>
      <c r="Z16" s="4">
        <v>19337.18</v>
      </c>
      <c r="AA16" s="4" t="s">
        <v>35</v>
      </c>
    </row>
    <row r="17" spans="1:28" x14ac:dyDescent="0.3">
      <c r="A17" s="4" t="s">
        <v>29</v>
      </c>
      <c r="B17" s="4">
        <v>2140944</v>
      </c>
      <c r="C17" s="4">
        <v>2140944</v>
      </c>
      <c r="D17" s="4" t="s">
        <v>44</v>
      </c>
      <c r="E17" s="4" t="s">
        <v>68</v>
      </c>
      <c r="F17" s="4" t="s">
        <v>69</v>
      </c>
      <c r="G17" s="5">
        <v>19117</v>
      </c>
      <c r="H17" s="4">
        <f>DAY(G17)</f>
        <v>3</v>
      </c>
      <c r="I17" s="4">
        <f>MONTH(G17)</f>
        <v>5</v>
      </c>
      <c r="J17" s="4">
        <f>YEAR(G17)</f>
        <v>1952</v>
      </c>
      <c r="K17" s="6">
        <v>5202031100100</v>
      </c>
      <c r="L17" s="5">
        <v>41061</v>
      </c>
      <c r="M17" s="5">
        <v>45474</v>
      </c>
      <c r="N17" s="5">
        <v>45838</v>
      </c>
      <c r="O17" s="4">
        <v>4190.6400000000003</v>
      </c>
      <c r="P17" s="4">
        <v>1</v>
      </c>
      <c r="Q17" s="4" t="s">
        <v>33</v>
      </c>
      <c r="R17" s="4" t="s">
        <v>34</v>
      </c>
      <c r="S17" s="4">
        <v>770005</v>
      </c>
      <c r="T17" s="4">
        <v>1140116676901</v>
      </c>
      <c r="U17" s="4">
        <v>0</v>
      </c>
      <c r="V17" s="4">
        <v>0</v>
      </c>
      <c r="W17" s="4">
        <v>0</v>
      </c>
      <c r="X17" s="4">
        <v>0</v>
      </c>
      <c r="Y17" s="4">
        <v>4190.6400000000003</v>
      </c>
      <c r="Z17" s="4">
        <v>4190.6400000000003</v>
      </c>
      <c r="AA17" s="4" t="s">
        <v>35</v>
      </c>
    </row>
    <row r="18" spans="1:28" x14ac:dyDescent="0.3">
      <c r="A18" s="4" t="s">
        <v>29</v>
      </c>
      <c r="B18" s="4">
        <v>2203278</v>
      </c>
      <c r="C18" s="4">
        <v>2203278</v>
      </c>
      <c r="D18" s="4" t="s">
        <v>37</v>
      </c>
      <c r="E18" s="4" t="s">
        <v>38</v>
      </c>
      <c r="F18" s="4" t="s">
        <v>70</v>
      </c>
      <c r="G18" s="5">
        <v>22039</v>
      </c>
      <c r="H18" s="4">
        <f>DAY(G18)</f>
        <v>3</v>
      </c>
      <c r="I18" s="4">
        <f>MONTH(G18)</f>
        <v>5</v>
      </c>
      <c r="J18" s="4">
        <f>YEAR(G18)</f>
        <v>1960</v>
      </c>
      <c r="K18" s="6">
        <v>6005036100033</v>
      </c>
      <c r="L18" s="5">
        <v>43983</v>
      </c>
      <c r="M18" s="5">
        <v>45474</v>
      </c>
      <c r="N18" s="5">
        <v>45838</v>
      </c>
      <c r="O18" s="4">
        <v>6516</v>
      </c>
      <c r="P18" s="4">
        <v>1</v>
      </c>
      <c r="Q18" s="4" t="s">
        <v>33</v>
      </c>
      <c r="R18" s="4" t="s">
        <v>34</v>
      </c>
      <c r="S18" s="4">
        <v>770002</v>
      </c>
      <c r="T18" s="4">
        <v>77400349908</v>
      </c>
      <c r="U18" s="4">
        <v>0</v>
      </c>
      <c r="V18" s="4">
        <v>0</v>
      </c>
      <c r="W18" s="4">
        <v>0</v>
      </c>
      <c r="X18" s="4">
        <v>394.86</v>
      </c>
      <c r="Y18" s="4">
        <v>6516</v>
      </c>
      <c r="Z18" s="4">
        <v>6121.14</v>
      </c>
      <c r="AA18" s="4" t="s">
        <v>35</v>
      </c>
    </row>
    <row r="19" spans="1:28" x14ac:dyDescent="0.3">
      <c r="A19" s="4" t="s">
        <v>29</v>
      </c>
      <c r="B19" s="4">
        <v>2210346</v>
      </c>
      <c r="C19" s="4">
        <v>2210346</v>
      </c>
      <c r="D19" s="4" t="s">
        <v>71</v>
      </c>
      <c r="E19" s="4" t="s">
        <v>72</v>
      </c>
      <c r="F19" s="4" t="s">
        <v>73</v>
      </c>
      <c r="G19" s="5">
        <v>21320</v>
      </c>
      <c r="H19" s="4">
        <f>DAY(G19)</f>
        <v>15</v>
      </c>
      <c r="I19" s="4">
        <f>MONTH(G19)</f>
        <v>5</v>
      </c>
      <c r="J19" s="4">
        <f>YEAR(G19)</f>
        <v>1958</v>
      </c>
      <c r="K19" s="6">
        <v>5805156100064</v>
      </c>
      <c r="L19" s="5">
        <v>43252</v>
      </c>
      <c r="M19" s="5">
        <v>45474</v>
      </c>
      <c r="N19" s="5">
        <v>45838</v>
      </c>
      <c r="O19" s="4">
        <v>20966.22</v>
      </c>
      <c r="P19" s="4">
        <v>1</v>
      </c>
      <c r="Q19" s="4" t="s">
        <v>33</v>
      </c>
      <c r="R19" s="4" t="s">
        <v>34</v>
      </c>
      <c r="S19" s="4">
        <v>663164</v>
      </c>
      <c r="T19" s="4">
        <v>9110002789003</v>
      </c>
      <c r="U19" s="4">
        <v>0</v>
      </c>
      <c r="V19" s="4">
        <v>0</v>
      </c>
      <c r="W19" s="4">
        <v>0</v>
      </c>
      <c r="X19" s="4">
        <v>4468.8500000000004</v>
      </c>
      <c r="Y19" s="4">
        <v>20966.22</v>
      </c>
      <c r="Z19" s="4">
        <v>16497.37</v>
      </c>
      <c r="AA19" s="4" t="s">
        <v>35</v>
      </c>
    </row>
    <row r="20" spans="1:28" x14ac:dyDescent="0.3">
      <c r="A20" s="4" t="s">
        <v>29</v>
      </c>
      <c r="B20" s="4">
        <v>2253369</v>
      </c>
      <c r="C20" s="4">
        <v>2253369</v>
      </c>
      <c r="D20" s="4" t="s">
        <v>74</v>
      </c>
      <c r="E20" s="4" t="s">
        <v>75</v>
      </c>
      <c r="F20" s="4" t="s">
        <v>76</v>
      </c>
      <c r="G20" s="5">
        <v>23868</v>
      </c>
      <c r="H20" s="4">
        <f>DAY(G20)</f>
        <v>6</v>
      </c>
      <c r="I20" s="4">
        <f>MONTH(G20)</f>
        <v>5</v>
      </c>
      <c r="J20" s="4">
        <f>YEAR(G20)</f>
        <v>1965</v>
      </c>
      <c r="K20" s="6">
        <v>6505066100076</v>
      </c>
      <c r="L20" s="5">
        <v>45809</v>
      </c>
      <c r="M20" s="5">
        <v>45809</v>
      </c>
      <c r="N20" s="5">
        <v>45838</v>
      </c>
      <c r="O20" s="4">
        <v>8998.3799999999992</v>
      </c>
      <c r="P20" s="4">
        <v>1</v>
      </c>
      <c r="Q20" s="4" t="s">
        <v>33</v>
      </c>
      <c r="R20" s="4" t="s">
        <v>34</v>
      </c>
      <c r="S20" s="4">
        <v>90001</v>
      </c>
      <c r="T20" s="4">
        <v>51000899252</v>
      </c>
      <c r="U20" s="4">
        <v>0</v>
      </c>
      <c r="V20" s="4">
        <v>0</v>
      </c>
      <c r="W20" s="4">
        <v>0</v>
      </c>
      <c r="X20" s="4">
        <v>924.59</v>
      </c>
      <c r="Y20" s="4">
        <v>8998.3799999999992</v>
      </c>
      <c r="Z20" s="4">
        <v>8073.79</v>
      </c>
      <c r="AA20" s="4" t="s">
        <v>35</v>
      </c>
    </row>
    <row r="21" spans="1:28" x14ac:dyDescent="0.3">
      <c r="A21" s="4" t="s">
        <v>29</v>
      </c>
      <c r="B21" s="4">
        <v>2254030</v>
      </c>
      <c r="C21" s="4">
        <v>2254030</v>
      </c>
      <c r="D21" s="4" t="s">
        <v>77</v>
      </c>
      <c r="E21" s="4" t="s">
        <v>54</v>
      </c>
      <c r="F21" s="4" t="s">
        <v>78</v>
      </c>
      <c r="G21" s="5">
        <v>22422</v>
      </c>
      <c r="H21" s="4">
        <f>DAY(G21)</f>
        <v>21</v>
      </c>
      <c r="I21" s="4">
        <f>MONTH(G21)</f>
        <v>5</v>
      </c>
      <c r="J21" s="4">
        <f>YEAR(G21)</f>
        <v>1961</v>
      </c>
      <c r="K21" s="6">
        <v>106001002254030</v>
      </c>
      <c r="L21" s="5">
        <v>44348</v>
      </c>
      <c r="M21" s="5">
        <v>45474</v>
      </c>
      <c r="N21" s="5">
        <v>45838</v>
      </c>
      <c r="O21" s="4">
        <v>5318.8</v>
      </c>
      <c r="P21" s="4">
        <v>1</v>
      </c>
      <c r="Q21" s="4" t="s">
        <v>33</v>
      </c>
      <c r="R21" s="4" t="s">
        <v>34</v>
      </c>
      <c r="S21" s="4">
        <v>661164</v>
      </c>
      <c r="T21" s="4">
        <v>9110000184635</v>
      </c>
      <c r="U21" s="4">
        <v>0</v>
      </c>
      <c r="V21" s="4">
        <v>0</v>
      </c>
      <c r="W21" s="4">
        <v>0</v>
      </c>
      <c r="X21" s="4">
        <v>155.41999999999999</v>
      </c>
      <c r="Y21" s="4">
        <v>5318.8</v>
      </c>
      <c r="Z21" s="4">
        <v>5163.38</v>
      </c>
      <c r="AA21" s="4" t="s">
        <v>35</v>
      </c>
    </row>
    <row r="22" spans="1:28" x14ac:dyDescent="0.3">
      <c r="A22" s="4" t="s">
        <v>29</v>
      </c>
      <c r="B22" s="4">
        <v>2256609</v>
      </c>
      <c r="C22" s="4">
        <v>2256609</v>
      </c>
      <c r="D22" s="4" t="s">
        <v>79</v>
      </c>
      <c r="E22" s="4" t="s">
        <v>38</v>
      </c>
      <c r="F22" s="4" t="s">
        <v>80</v>
      </c>
      <c r="G22" s="5">
        <v>21310</v>
      </c>
      <c r="H22" s="4">
        <f>DAY(G22)</f>
        <v>5</v>
      </c>
      <c r="I22" s="4">
        <f>MONTH(G22)</f>
        <v>5</v>
      </c>
      <c r="J22" s="4">
        <f>YEAR(G22)</f>
        <v>1958</v>
      </c>
      <c r="K22" s="6">
        <v>5806276100059</v>
      </c>
      <c r="L22" s="5">
        <v>43252</v>
      </c>
      <c r="M22" s="5">
        <v>45474</v>
      </c>
      <c r="N22" s="5">
        <v>45838</v>
      </c>
      <c r="O22" s="4">
        <v>1560.63</v>
      </c>
      <c r="P22" s="4">
        <v>1</v>
      </c>
      <c r="Q22" s="4" t="s">
        <v>33</v>
      </c>
      <c r="R22" s="4" t="s">
        <v>34</v>
      </c>
      <c r="S22" s="4">
        <v>90001</v>
      </c>
      <c r="T22" s="4">
        <v>51000003186</v>
      </c>
      <c r="U22" s="4">
        <v>0</v>
      </c>
      <c r="V22" s="4">
        <v>0</v>
      </c>
      <c r="W22" s="4">
        <v>0</v>
      </c>
      <c r="X22" s="4">
        <v>0</v>
      </c>
      <c r="Y22" s="4">
        <v>1560.63</v>
      </c>
      <c r="Z22" s="4">
        <v>1560.63</v>
      </c>
      <c r="AA22" s="4" t="s">
        <v>35</v>
      </c>
    </row>
    <row r="23" spans="1:28" x14ac:dyDescent="0.3">
      <c r="A23" s="4" t="s">
        <v>29</v>
      </c>
      <c r="B23" s="4">
        <v>2261641</v>
      </c>
      <c r="C23" s="4">
        <v>2261641</v>
      </c>
      <c r="D23" s="4" t="s">
        <v>81</v>
      </c>
      <c r="E23" s="4" t="s">
        <v>51</v>
      </c>
      <c r="F23" s="4" t="s">
        <v>82</v>
      </c>
      <c r="G23" s="5">
        <v>22781</v>
      </c>
      <c r="H23" s="4">
        <f>DAY(G23)</f>
        <v>15</v>
      </c>
      <c r="I23" s="4">
        <f>MONTH(G23)</f>
        <v>5</v>
      </c>
      <c r="J23" s="4">
        <f>YEAR(G23)</f>
        <v>1962</v>
      </c>
      <c r="K23" s="6">
        <v>6205156100181</v>
      </c>
      <c r="L23" s="5">
        <v>44713</v>
      </c>
      <c r="M23" s="5">
        <v>45474</v>
      </c>
      <c r="N23" s="5">
        <v>45838</v>
      </c>
      <c r="O23" s="4">
        <v>2021.5</v>
      </c>
      <c r="P23" s="4">
        <v>1</v>
      </c>
      <c r="Q23" s="4" t="s">
        <v>33</v>
      </c>
      <c r="R23" s="4" t="s">
        <v>34</v>
      </c>
      <c r="S23" s="4">
        <v>770001</v>
      </c>
      <c r="T23" s="4">
        <v>77400675069</v>
      </c>
      <c r="U23" s="4">
        <v>0</v>
      </c>
      <c r="V23" s="4">
        <v>0</v>
      </c>
      <c r="W23" s="4">
        <v>0</v>
      </c>
      <c r="X23" s="4">
        <v>0</v>
      </c>
      <c r="Y23" s="4">
        <v>2021.5</v>
      </c>
      <c r="Z23" s="4">
        <v>2021.5</v>
      </c>
      <c r="AA23" s="4" t="s">
        <v>35</v>
      </c>
    </row>
    <row r="24" spans="1:28" x14ac:dyDescent="0.3">
      <c r="A24" s="4" t="s">
        <v>29</v>
      </c>
      <c r="B24" s="4">
        <v>2266653</v>
      </c>
      <c r="C24" s="4">
        <v>2266653</v>
      </c>
      <c r="D24" s="4" t="s">
        <v>83</v>
      </c>
      <c r="E24" s="4" t="s">
        <v>38</v>
      </c>
      <c r="F24" s="4" t="s">
        <v>84</v>
      </c>
      <c r="G24" s="5">
        <v>21320</v>
      </c>
      <c r="H24" s="4">
        <f>DAY(G24)</f>
        <v>15</v>
      </c>
      <c r="I24" s="4">
        <f>MONTH(G24)</f>
        <v>5</v>
      </c>
      <c r="J24" s="4">
        <f>YEAR(G24)</f>
        <v>1958</v>
      </c>
      <c r="K24" s="6">
        <v>5805156100114</v>
      </c>
      <c r="L24" s="5">
        <v>43252</v>
      </c>
      <c r="M24" s="5">
        <v>45474</v>
      </c>
      <c r="N24" s="5">
        <v>45838</v>
      </c>
      <c r="O24" s="4">
        <v>2011.52</v>
      </c>
      <c r="P24" s="4">
        <v>1</v>
      </c>
      <c r="Q24" s="4" t="s">
        <v>33</v>
      </c>
      <c r="R24" s="4" t="s">
        <v>34</v>
      </c>
      <c r="S24" s="4">
        <v>280164</v>
      </c>
      <c r="T24" s="4">
        <v>62769979942</v>
      </c>
      <c r="U24" s="4">
        <v>1500</v>
      </c>
      <c r="V24" s="4">
        <v>0</v>
      </c>
      <c r="W24" s="4">
        <v>0</v>
      </c>
      <c r="X24" s="4">
        <v>0</v>
      </c>
      <c r="Y24" s="4">
        <v>2011.52</v>
      </c>
      <c r="Z24" s="4">
        <v>511.52</v>
      </c>
      <c r="AA24" s="4" t="s">
        <v>35</v>
      </c>
    </row>
    <row r="25" spans="1:28" x14ac:dyDescent="0.3">
      <c r="A25" s="4" t="s">
        <v>29</v>
      </c>
      <c r="B25" s="4">
        <v>2272421</v>
      </c>
      <c r="C25" s="4">
        <v>2272421</v>
      </c>
      <c r="D25" s="4" t="s">
        <v>85</v>
      </c>
      <c r="E25" s="4" t="s">
        <v>86</v>
      </c>
      <c r="F25" s="4" t="s">
        <v>87</v>
      </c>
      <c r="G25" s="5">
        <v>22776</v>
      </c>
      <c r="H25" s="4">
        <f>DAY(G25)</f>
        <v>10</v>
      </c>
      <c r="I25" s="4">
        <f>MONTH(G25)</f>
        <v>5</v>
      </c>
      <c r="J25" s="4">
        <f>YEAR(G25)</f>
        <v>1962</v>
      </c>
      <c r="K25" s="6">
        <v>6205106100190</v>
      </c>
      <c r="L25" s="5">
        <v>44713</v>
      </c>
      <c r="M25" s="5">
        <v>45474</v>
      </c>
      <c r="N25" s="5">
        <v>45838</v>
      </c>
      <c r="O25" s="4">
        <v>2457.0100000000002</v>
      </c>
      <c r="P25" s="4">
        <v>1</v>
      </c>
      <c r="Q25" s="4" t="s">
        <v>33</v>
      </c>
      <c r="R25" s="4" t="s">
        <v>34</v>
      </c>
      <c r="S25" s="4">
        <v>90001</v>
      </c>
      <c r="T25" s="4">
        <v>51000011383</v>
      </c>
      <c r="U25" s="4">
        <v>0</v>
      </c>
      <c r="V25" s="4">
        <v>0</v>
      </c>
      <c r="W25" s="4">
        <v>0</v>
      </c>
      <c r="X25" s="4">
        <v>0</v>
      </c>
      <c r="Y25" s="4">
        <v>2457.0100000000002</v>
      </c>
      <c r="Z25" s="4">
        <v>2457.0100000000002</v>
      </c>
      <c r="AA25" s="4" t="s">
        <v>35</v>
      </c>
    </row>
    <row r="26" spans="1:28" x14ac:dyDescent="0.3">
      <c r="A26" s="4" t="s">
        <v>29</v>
      </c>
      <c r="B26" s="4">
        <v>2324322</v>
      </c>
      <c r="C26" s="4">
        <v>2324322</v>
      </c>
      <c r="D26" s="4" t="s">
        <v>88</v>
      </c>
      <c r="E26" s="4" t="s">
        <v>89</v>
      </c>
      <c r="F26" s="4" t="s">
        <v>90</v>
      </c>
      <c r="G26" s="5">
        <v>24614</v>
      </c>
      <c r="H26" s="4">
        <f>DAY(G26)</f>
        <v>22</v>
      </c>
      <c r="I26" s="4">
        <f>MONTH(G26)</f>
        <v>5</v>
      </c>
      <c r="J26" s="4">
        <f>YEAR(G26)</f>
        <v>1967</v>
      </c>
      <c r="K26" s="6">
        <v>6705226100129</v>
      </c>
      <c r="L26" s="5">
        <v>40544</v>
      </c>
      <c r="M26" s="5">
        <v>45474</v>
      </c>
      <c r="N26" s="5">
        <v>45838</v>
      </c>
      <c r="O26" s="4">
        <v>6679.17</v>
      </c>
      <c r="P26" s="4">
        <v>1</v>
      </c>
      <c r="Q26" s="4" t="s">
        <v>33</v>
      </c>
      <c r="R26" s="4" t="s">
        <v>34</v>
      </c>
      <c r="S26" s="4">
        <v>770001</v>
      </c>
      <c r="T26" s="4">
        <v>1040125851301</v>
      </c>
      <c r="U26" s="4">
        <v>1988.8</v>
      </c>
      <c r="V26" s="4">
        <v>0</v>
      </c>
      <c r="W26" s="4">
        <v>0</v>
      </c>
      <c r="X26" s="4">
        <v>652.5</v>
      </c>
      <c r="Y26" s="4">
        <v>6679.17</v>
      </c>
      <c r="Z26" s="4">
        <v>4037.87</v>
      </c>
      <c r="AA26" s="4" t="s">
        <v>35</v>
      </c>
    </row>
    <row r="27" spans="1:28" x14ac:dyDescent="0.3">
      <c r="A27" s="4" t="s">
        <v>29</v>
      </c>
      <c r="B27" s="4">
        <v>2416580</v>
      </c>
      <c r="C27" s="4">
        <v>2416580</v>
      </c>
      <c r="D27" s="4" t="s">
        <v>91</v>
      </c>
      <c r="E27" s="4" t="s">
        <v>54</v>
      </c>
      <c r="F27" s="4" t="s">
        <v>92</v>
      </c>
      <c r="G27" s="5">
        <v>24972</v>
      </c>
      <c r="H27" s="4">
        <f>DAY(G27)</f>
        <v>14</v>
      </c>
      <c r="I27" s="4">
        <f>MONTH(G27)</f>
        <v>5</v>
      </c>
      <c r="J27" s="4">
        <f>YEAR(G27)</f>
        <v>1968</v>
      </c>
      <c r="K27" s="6">
        <v>6805141100038</v>
      </c>
      <c r="L27" s="5">
        <v>40756</v>
      </c>
      <c r="M27" s="5">
        <v>45474</v>
      </c>
      <c r="N27" s="5">
        <v>45838</v>
      </c>
      <c r="O27" s="4">
        <v>6846.77</v>
      </c>
      <c r="P27" s="4">
        <v>1</v>
      </c>
      <c r="Q27" s="4" t="s">
        <v>33</v>
      </c>
      <c r="R27" s="4" t="s">
        <v>34</v>
      </c>
      <c r="S27" s="4">
        <v>280164</v>
      </c>
      <c r="T27" s="4">
        <v>62322967699</v>
      </c>
      <c r="U27" s="4">
        <v>0</v>
      </c>
      <c r="V27" s="4">
        <v>0</v>
      </c>
      <c r="W27" s="4">
        <v>0</v>
      </c>
      <c r="X27" s="4">
        <v>686.02</v>
      </c>
      <c r="Y27" s="4">
        <v>6846.77</v>
      </c>
      <c r="Z27" s="4">
        <v>6160.75</v>
      </c>
      <c r="AA27" s="4" t="s">
        <v>35</v>
      </c>
    </row>
    <row r="28" spans="1:28" x14ac:dyDescent="0.3">
      <c r="A28" s="4" t="s">
        <v>29</v>
      </c>
      <c r="B28" s="4">
        <v>2531023</v>
      </c>
      <c r="C28" s="4">
        <v>2531023</v>
      </c>
      <c r="D28" s="4" t="s">
        <v>93</v>
      </c>
      <c r="E28" s="4" t="s">
        <v>51</v>
      </c>
      <c r="F28" s="4" t="s">
        <v>94</v>
      </c>
      <c r="G28" s="5">
        <v>28611</v>
      </c>
      <c r="H28" s="4">
        <f>DAY(G28)</f>
        <v>1</v>
      </c>
      <c r="I28" s="4">
        <f>MONTH(G28)</f>
        <v>5</v>
      </c>
      <c r="J28" s="4">
        <f>YEAR(G28)</f>
        <v>1978</v>
      </c>
      <c r="K28" s="6">
        <v>7805016100237</v>
      </c>
      <c r="L28" s="5">
        <v>45047</v>
      </c>
      <c r="M28" s="5">
        <v>45474</v>
      </c>
      <c r="N28" s="5">
        <v>45838</v>
      </c>
      <c r="O28" s="4">
        <v>1963.24</v>
      </c>
      <c r="P28" s="4">
        <v>1</v>
      </c>
      <c r="Q28" s="4" t="s">
        <v>33</v>
      </c>
      <c r="R28" s="4" t="s">
        <v>34</v>
      </c>
      <c r="S28" s="4">
        <v>280164</v>
      </c>
      <c r="T28" s="4">
        <v>62876618334</v>
      </c>
      <c r="U28" s="4">
        <v>0</v>
      </c>
      <c r="V28" s="4">
        <v>0</v>
      </c>
      <c r="W28" s="4">
        <v>0</v>
      </c>
      <c r="X28" s="4">
        <v>0</v>
      </c>
      <c r="Y28" s="4">
        <v>1963.24</v>
      </c>
      <c r="Z28" s="4">
        <v>1963.24</v>
      </c>
      <c r="AA28" s="4" t="s">
        <v>35</v>
      </c>
      <c r="AB28" s="4" t="s">
        <v>36</v>
      </c>
    </row>
    <row r="29" spans="1:28" x14ac:dyDescent="0.3">
      <c r="A29" s="4" t="s">
        <v>29</v>
      </c>
      <c r="B29" s="4">
        <v>2661326</v>
      </c>
      <c r="C29" s="4">
        <v>2661326</v>
      </c>
      <c r="D29" s="4" t="s">
        <v>37</v>
      </c>
      <c r="E29" s="4" t="s">
        <v>41</v>
      </c>
      <c r="F29" s="4" t="s">
        <v>95</v>
      </c>
      <c r="G29" s="5">
        <v>29371</v>
      </c>
      <c r="H29" s="4">
        <f>DAY(G29)</f>
        <v>30</v>
      </c>
      <c r="I29" s="4">
        <f>MONTH(G29)</f>
        <v>5</v>
      </c>
      <c r="J29" s="4">
        <f>YEAR(G29)</f>
        <v>1980</v>
      </c>
      <c r="K29" s="6">
        <v>102402002661326</v>
      </c>
      <c r="L29" s="5">
        <v>45809</v>
      </c>
      <c r="M29" s="5">
        <v>45809</v>
      </c>
      <c r="O29" s="4">
        <v>1500</v>
      </c>
      <c r="P29" s="4">
        <v>1</v>
      </c>
      <c r="Q29" s="4" t="s">
        <v>33</v>
      </c>
      <c r="R29" s="4" t="s">
        <v>34</v>
      </c>
      <c r="S29" s="4">
        <v>280164</v>
      </c>
      <c r="T29" s="4">
        <v>62837693177</v>
      </c>
      <c r="U29" s="4">
        <v>0</v>
      </c>
      <c r="V29" s="4">
        <v>0</v>
      </c>
      <c r="W29" s="4">
        <v>0</v>
      </c>
      <c r="X29" s="4">
        <v>0</v>
      </c>
      <c r="Y29" s="4">
        <v>1500</v>
      </c>
      <c r="Z29" s="4">
        <v>1500</v>
      </c>
      <c r="AA29" s="4" t="s">
        <v>35</v>
      </c>
    </row>
    <row r="30" spans="1:28" x14ac:dyDescent="0.3">
      <c r="A30" s="4" t="s">
        <v>29</v>
      </c>
      <c r="B30" s="4">
        <v>300211946</v>
      </c>
      <c r="C30" s="4">
        <v>300211946</v>
      </c>
      <c r="D30" s="4" t="s">
        <v>96</v>
      </c>
      <c r="E30" s="4" t="s">
        <v>68</v>
      </c>
      <c r="F30" s="4" t="s">
        <v>97</v>
      </c>
      <c r="G30" s="5">
        <v>31173</v>
      </c>
      <c r="H30" s="4">
        <f>DAY(G30)</f>
        <v>6</v>
      </c>
      <c r="I30" s="4">
        <f>MONTH(G30)</f>
        <v>5</v>
      </c>
      <c r="J30" s="4">
        <f>YEAR(G30)</f>
        <v>1985</v>
      </c>
      <c r="K30" s="6">
        <v>8505061100095</v>
      </c>
      <c r="L30" s="5">
        <v>40544</v>
      </c>
      <c r="M30" s="5">
        <v>45474</v>
      </c>
      <c r="N30" s="5">
        <v>45838</v>
      </c>
      <c r="O30" s="4">
        <v>1920.57</v>
      </c>
      <c r="P30" s="4">
        <v>1</v>
      </c>
      <c r="Q30" s="4" t="s">
        <v>33</v>
      </c>
      <c r="R30" s="4" t="s">
        <v>34</v>
      </c>
      <c r="S30" s="4">
        <v>770005</v>
      </c>
      <c r="T30" s="4">
        <v>1140124288201</v>
      </c>
      <c r="U30" s="4">
        <v>0</v>
      </c>
      <c r="V30" s="4">
        <v>0</v>
      </c>
      <c r="W30" s="4">
        <v>0</v>
      </c>
      <c r="X30" s="4">
        <v>0</v>
      </c>
      <c r="Y30" s="4">
        <v>1920.57</v>
      </c>
      <c r="Z30" s="4">
        <v>1920.57</v>
      </c>
      <c r="AA30" s="4" t="s">
        <v>35</v>
      </c>
    </row>
    <row r="31" spans="1:28" x14ac:dyDescent="0.3">
      <c r="A31" s="4" t="s">
        <v>29</v>
      </c>
      <c r="B31" s="4">
        <v>3028232</v>
      </c>
      <c r="C31" s="4">
        <v>3028232</v>
      </c>
      <c r="D31" s="4" t="s">
        <v>98</v>
      </c>
      <c r="E31" s="4" t="s">
        <v>99</v>
      </c>
      <c r="F31" s="4" t="s">
        <v>100</v>
      </c>
      <c r="G31" s="5">
        <v>18402</v>
      </c>
      <c r="H31" s="4">
        <f>DAY(G31)</f>
        <v>19</v>
      </c>
      <c r="I31" s="4">
        <f>MONTH(G31)</f>
        <v>5</v>
      </c>
      <c r="J31" s="4">
        <f>YEAR(G31)</f>
        <v>1950</v>
      </c>
      <c r="K31" s="6">
        <v>5401236100033</v>
      </c>
      <c r="L31" s="5">
        <v>40330</v>
      </c>
      <c r="M31" s="5">
        <v>45474</v>
      </c>
      <c r="N31" s="5">
        <v>45838</v>
      </c>
      <c r="O31" s="4">
        <v>1962.7</v>
      </c>
      <c r="P31" s="4">
        <v>1</v>
      </c>
      <c r="Q31" s="4" t="s">
        <v>33</v>
      </c>
      <c r="R31" s="4" t="s">
        <v>34</v>
      </c>
      <c r="S31" s="4">
        <v>770001</v>
      </c>
      <c r="T31" s="4">
        <v>1040113086101</v>
      </c>
      <c r="U31" s="4">
        <v>0</v>
      </c>
      <c r="V31" s="4">
        <v>0</v>
      </c>
      <c r="W31" s="4">
        <v>0</v>
      </c>
      <c r="X31" s="4">
        <v>0</v>
      </c>
      <c r="Y31" s="4">
        <v>1962.7</v>
      </c>
      <c r="Z31" s="4">
        <v>1962.7</v>
      </c>
      <c r="AA31" s="4" t="s">
        <v>35</v>
      </c>
    </row>
    <row r="32" spans="1:28" x14ac:dyDescent="0.3">
      <c r="A32" s="4" t="s">
        <v>29</v>
      </c>
      <c r="B32" s="4">
        <v>303877</v>
      </c>
      <c r="C32" s="4">
        <v>303877</v>
      </c>
      <c r="D32" s="4" t="s">
        <v>101</v>
      </c>
      <c r="E32" s="4" t="s">
        <v>51</v>
      </c>
      <c r="F32" s="4" t="s">
        <v>102</v>
      </c>
      <c r="G32" s="5">
        <v>17675</v>
      </c>
      <c r="H32" s="4">
        <f>DAY(G32)</f>
        <v>22</v>
      </c>
      <c r="I32" s="4">
        <f>MONTH(G32)</f>
        <v>5</v>
      </c>
      <c r="J32" s="4">
        <f>YEAR(G32)</f>
        <v>1948</v>
      </c>
      <c r="K32" s="6">
        <v>4805226100012</v>
      </c>
      <c r="L32" s="5">
        <v>39600</v>
      </c>
      <c r="M32" s="5">
        <v>45474</v>
      </c>
      <c r="N32" s="5">
        <v>45838</v>
      </c>
      <c r="O32" s="4">
        <v>10172.4</v>
      </c>
      <c r="P32" s="4">
        <v>1</v>
      </c>
      <c r="Q32" s="4" t="s">
        <v>33</v>
      </c>
      <c r="R32" s="4" t="s">
        <v>34</v>
      </c>
      <c r="S32" s="4">
        <v>282064</v>
      </c>
      <c r="T32" s="4">
        <v>57730031897</v>
      </c>
      <c r="U32" s="4">
        <v>0</v>
      </c>
      <c r="V32" s="4">
        <v>0</v>
      </c>
      <c r="W32" s="4">
        <v>0</v>
      </c>
      <c r="X32" s="4">
        <v>1218.0999999999999</v>
      </c>
      <c r="Y32" s="4">
        <v>10172.4</v>
      </c>
      <c r="Z32" s="4">
        <v>8954.2999999999993</v>
      </c>
      <c r="AA32" s="4" t="s">
        <v>35</v>
      </c>
    </row>
    <row r="33" spans="1:29" x14ac:dyDescent="0.3">
      <c r="A33" s="4" t="s">
        <v>29</v>
      </c>
      <c r="B33" s="4">
        <v>3110184</v>
      </c>
      <c r="C33" s="4">
        <v>3110184</v>
      </c>
      <c r="D33" s="4" t="s">
        <v>37</v>
      </c>
      <c r="E33" s="4" t="s">
        <v>103</v>
      </c>
      <c r="F33" s="4" t="s">
        <v>104</v>
      </c>
      <c r="G33" s="5">
        <v>20962</v>
      </c>
      <c r="H33" s="4">
        <f>DAY(G33)</f>
        <v>22</v>
      </c>
      <c r="I33" s="4">
        <f>MONTH(G33)</f>
        <v>5</v>
      </c>
      <c r="J33" s="4">
        <f>YEAR(G33)</f>
        <v>1957</v>
      </c>
      <c r="K33" s="6">
        <v>5705226100039</v>
      </c>
      <c r="L33" s="5">
        <v>39995</v>
      </c>
      <c r="M33" s="5">
        <v>45474</v>
      </c>
      <c r="N33" s="5">
        <v>45838</v>
      </c>
      <c r="O33" s="4">
        <v>10660.57</v>
      </c>
      <c r="P33" s="4">
        <v>1</v>
      </c>
      <c r="Q33" s="4" t="s">
        <v>33</v>
      </c>
      <c r="R33" s="4" t="s">
        <v>34</v>
      </c>
      <c r="S33" s="4">
        <v>663464</v>
      </c>
      <c r="T33" s="4">
        <v>9110001036966</v>
      </c>
      <c r="U33" s="4">
        <v>20</v>
      </c>
      <c r="V33" s="4">
        <v>0</v>
      </c>
      <c r="W33" s="4">
        <v>0</v>
      </c>
      <c r="X33" s="4">
        <v>1340.14</v>
      </c>
      <c r="Y33" s="4">
        <v>10660.57</v>
      </c>
      <c r="Z33" s="4">
        <v>9300.43</v>
      </c>
      <c r="AA33" s="4" t="s">
        <v>35</v>
      </c>
    </row>
    <row r="34" spans="1:29" x14ac:dyDescent="0.3">
      <c r="A34" s="4" t="s">
        <v>29</v>
      </c>
      <c r="B34" s="4">
        <v>3115316</v>
      </c>
      <c r="C34" s="4">
        <v>3115316</v>
      </c>
      <c r="D34" s="4" t="s">
        <v>105</v>
      </c>
      <c r="E34" s="4" t="s">
        <v>106</v>
      </c>
      <c r="F34" s="4" t="s">
        <v>107</v>
      </c>
      <c r="G34" s="5">
        <v>20587</v>
      </c>
      <c r="H34" s="4">
        <f>DAY(G34)</f>
        <v>12</v>
      </c>
      <c r="I34" s="4">
        <f>MONTH(G34)</f>
        <v>5</v>
      </c>
      <c r="J34" s="4">
        <f>YEAR(G34)</f>
        <v>1956</v>
      </c>
      <c r="K34" s="6">
        <v>5705206100058</v>
      </c>
      <c r="L34" s="5">
        <v>42522</v>
      </c>
      <c r="M34" s="5">
        <v>45474</v>
      </c>
      <c r="N34" s="5">
        <v>45838</v>
      </c>
      <c r="O34" s="4">
        <v>3457.95</v>
      </c>
      <c r="P34" s="4">
        <v>1</v>
      </c>
      <c r="Q34" s="4" t="s">
        <v>33</v>
      </c>
      <c r="R34" s="4" t="s">
        <v>34</v>
      </c>
      <c r="S34" s="4">
        <v>90001</v>
      </c>
      <c r="T34" s="4">
        <v>51000172182</v>
      </c>
      <c r="U34" s="4">
        <v>0</v>
      </c>
      <c r="V34" s="4">
        <v>0</v>
      </c>
      <c r="W34" s="4">
        <v>0</v>
      </c>
      <c r="X34" s="4">
        <v>0</v>
      </c>
      <c r="Y34" s="4">
        <v>3457.95</v>
      </c>
      <c r="Z34" s="4">
        <v>3457.95</v>
      </c>
      <c r="AA34" s="4" t="s">
        <v>35</v>
      </c>
      <c r="AC34" s="4" t="s">
        <v>108</v>
      </c>
    </row>
    <row r="35" spans="1:29" x14ac:dyDescent="0.3">
      <c r="A35" s="4" t="s">
        <v>29</v>
      </c>
      <c r="B35" s="4">
        <v>3118096</v>
      </c>
      <c r="C35" s="4">
        <v>3118096</v>
      </c>
      <c r="D35" s="4" t="s">
        <v>109</v>
      </c>
      <c r="E35" s="4" t="s">
        <v>63</v>
      </c>
      <c r="F35" s="4" t="s">
        <v>110</v>
      </c>
      <c r="G35" s="5">
        <v>18049</v>
      </c>
      <c r="H35" s="4">
        <f>DAY(G35)</f>
        <v>31</v>
      </c>
      <c r="I35" s="4">
        <f>MONTH(G35)</f>
        <v>5</v>
      </c>
      <c r="J35" s="4">
        <f>YEAR(G35)</f>
        <v>1949</v>
      </c>
      <c r="K35" s="6">
        <v>4905311100016</v>
      </c>
      <c r="L35" s="5">
        <v>39965</v>
      </c>
      <c r="M35" s="5">
        <v>45474</v>
      </c>
      <c r="N35" s="5">
        <v>45838</v>
      </c>
      <c r="O35" s="4">
        <v>1920.57</v>
      </c>
      <c r="P35" s="4">
        <v>1</v>
      </c>
      <c r="Q35" s="4" t="s">
        <v>33</v>
      </c>
      <c r="R35" s="4" t="s">
        <v>34</v>
      </c>
      <c r="S35" s="4">
        <v>770001</v>
      </c>
      <c r="T35" s="4">
        <v>1040112861001</v>
      </c>
      <c r="U35" s="4">
        <v>0</v>
      </c>
      <c r="V35" s="4">
        <v>0</v>
      </c>
      <c r="W35" s="4">
        <v>0</v>
      </c>
      <c r="X35" s="4">
        <v>0</v>
      </c>
      <c r="Y35" s="4">
        <v>1920.57</v>
      </c>
      <c r="Z35" s="4">
        <v>1920.57</v>
      </c>
      <c r="AA35" s="4" t="s">
        <v>35</v>
      </c>
    </row>
    <row r="36" spans="1:29" x14ac:dyDescent="0.3">
      <c r="A36" s="4" t="s">
        <v>29</v>
      </c>
      <c r="B36" s="4">
        <v>3124039</v>
      </c>
      <c r="C36" s="4">
        <v>3124039</v>
      </c>
      <c r="D36" s="4" t="s">
        <v>111</v>
      </c>
      <c r="E36" s="4" t="s">
        <v>112</v>
      </c>
      <c r="F36" s="4" t="s">
        <v>113</v>
      </c>
      <c r="G36" s="5">
        <v>20578</v>
      </c>
      <c r="H36" s="4">
        <f>DAY(G36)</f>
        <v>3</v>
      </c>
      <c r="I36" s="4">
        <f>MONTH(G36)</f>
        <v>5</v>
      </c>
      <c r="J36" s="4">
        <f>YEAR(G36)</f>
        <v>1956</v>
      </c>
      <c r="K36" s="6">
        <v>5605036100064</v>
      </c>
      <c r="L36" s="5">
        <v>42522</v>
      </c>
      <c r="M36" s="5">
        <v>45474</v>
      </c>
      <c r="N36" s="5">
        <v>45838</v>
      </c>
      <c r="O36" s="4">
        <v>11227.77</v>
      </c>
      <c r="P36" s="4">
        <v>1</v>
      </c>
      <c r="Q36" s="4" t="s">
        <v>33</v>
      </c>
      <c r="R36" s="4" t="s">
        <v>34</v>
      </c>
      <c r="S36" s="4">
        <v>770007</v>
      </c>
      <c r="T36" s="4">
        <v>77015353222</v>
      </c>
      <c r="U36" s="4">
        <v>0</v>
      </c>
      <c r="V36" s="4">
        <v>0</v>
      </c>
      <c r="W36" s="4">
        <v>0</v>
      </c>
      <c r="X36" s="4">
        <v>1481.94</v>
      </c>
      <c r="Y36" s="4">
        <v>11227.77</v>
      </c>
      <c r="Z36" s="4">
        <v>9745.83</v>
      </c>
      <c r="AA36" s="4" t="s">
        <v>35</v>
      </c>
      <c r="AC36" s="4" t="s">
        <v>108</v>
      </c>
    </row>
    <row r="37" spans="1:29" x14ac:dyDescent="0.3">
      <c r="A37" s="4" t="s">
        <v>29</v>
      </c>
      <c r="B37" s="4">
        <v>3144305</v>
      </c>
      <c r="C37" s="4">
        <v>3144305</v>
      </c>
      <c r="D37" s="4" t="s">
        <v>114</v>
      </c>
      <c r="E37" s="4" t="s">
        <v>41</v>
      </c>
      <c r="F37" s="4" t="s">
        <v>115</v>
      </c>
      <c r="G37" s="5">
        <v>18046</v>
      </c>
      <c r="H37" s="4">
        <f>DAY(G37)</f>
        <v>28</v>
      </c>
      <c r="I37" s="4">
        <f>MONTH(G37)</f>
        <v>5</v>
      </c>
      <c r="J37" s="4">
        <f>YEAR(G37)</f>
        <v>1949</v>
      </c>
      <c r="K37" s="6">
        <v>4903281100025</v>
      </c>
      <c r="L37" s="5">
        <v>39965</v>
      </c>
      <c r="M37" s="5">
        <v>45474</v>
      </c>
      <c r="N37" s="5">
        <v>45838</v>
      </c>
      <c r="O37" s="4">
        <v>1920.57</v>
      </c>
      <c r="P37" s="4">
        <v>1</v>
      </c>
      <c r="Q37" s="4" t="s">
        <v>33</v>
      </c>
      <c r="R37" s="4" t="s">
        <v>34</v>
      </c>
      <c r="S37" s="4">
        <v>90001</v>
      </c>
      <c r="T37" s="4">
        <v>51000177133</v>
      </c>
      <c r="U37" s="4">
        <v>0</v>
      </c>
      <c r="V37" s="4">
        <v>0</v>
      </c>
      <c r="W37" s="4">
        <v>0</v>
      </c>
      <c r="X37" s="4">
        <v>0</v>
      </c>
      <c r="Y37" s="4">
        <v>1920.57</v>
      </c>
      <c r="Z37" s="4">
        <v>1920.57</v>
      </c>
      <c r="AA37" s="4" t="s">
        <v>35</v>
      </c>
    </row>
    <row r="38" spans="1:29" x14ac:dyDescent="0.3">
      <c r="A38" s="4" t="s">
        <v>29</v>
      </c>
      <c r="B38" s="4">
        <v>3148749</v>
      </c>
      <c r="C38" s="4">
        <v>3148749</v>
      </c>
      <c r="D38" s="4" t="s">
        <v>116</v>
      </c>
      <c r="E38" s="4" t="s">
        <v>63</v>
      </c>
      <c r="F38" s="4" t="s">
        <v>117</v>
      </c>
      <c r="G38" s="5">
        <v>21309</v>
      </c>
      <c r="H38" s="4">
        <f>DAY(G38)</f>
        <v>4</v>
      </c>
      <c r="I38" s="4">
        <f>MONTH(G38)</f>
        <v>5</v>
      </c>
      <c r="J38" s="4">
        <f>YEAR(G38)</f>
        <v>1958</v>
      </c>
      <c r="K38" s="6">
        <v>216001003148749</v>
      </c>
      <c r="L38" s="5">
        <v>43252</v>
      </c>
      <c r="M38" s="5">
        <v>45474</v>
      </c>
      <c r="N38" s="5">
        <v>45838</v>
      </c>
      <c r="O38" s="4">
        <v>9187.49</v>
      </c>
      <c r="P38" s="4">
        <v>1</v>
      </c>
      <c r="Q38" s="4" t="s">
        <v>33</v>
      </c>
      <c r="R38" s="4" t="s">
        <v>34</v>
      </c>
      <c r="S38" s="4">
        <v>663164</v>
      </c>
      <c r="T38" s="4">
        <v>9110003147781</v>
      </c>
      <c r="U38" s="4">
        <v>0</v>
      </c>
      <c r="V38" s="4">
        <v>0</v>
      </c>
      <c r="W38" s="4">
        <v>0</v>
      </c>
      <c r="X38" s="4">
        <v>971.87</v>
      </c>
      <c r="Y38" s="4">
        <v>9187.49</v>
      </c>
      <c r="Z38" s="4">
        <v>8215.6200000000008</v>
      </c>
      <c r="AA38" s="4" t="s">
        <v>35</v>
      </c>
    </row>
    <row r="39" spans="1:29" x14ac:dyDescent="0.3">
      <c r="A39" s="4" t="s">
        <v>29</v>
      </c>
      <c r="B39" s="4">
        <v>3183733</v>
      </c>
      <c r="C39" s="4">
        <v>3183733</v>
      </c>
      <c r="D39" s="4" t="s">
        <v>118</v>
      </c>
      <c r="E39" s="4" t="s">
        <v>41</v>
      </c>
      <c r="F39" s="4" t="s">
        <v>66</v>
      </c>
      <c r="G39" s="5">
        <v>22040</v>
      </c>
      <c r="H39" s="4">
        <f>DAY(G39)</f>
        <v>4</v>
      </c>
      <c r="I39" s="4">
        <f>MONTH(G39)</f>
        <v>5</v>
      </c>
      <c r="J39" s="4">
        <f>YEAR(G39)</f>
        <v>1960</v>
      </c>
      <c r="K39" s="6">
        <v>211201003183733</v>
      </c>
      <c r="L39" s="5">
        <v>43983</v>
      </c>
      <c r="M39" s="5">
        <v>45474</v>
      </c>
      <c r="N39" s="5">
        <v>45838</v>
      </c>
      <c r="O39" s="4">
        <v>13535.8</v>
      </c>
      <c r="P39" s="4">
        <v>1</v>
      </c>
      <c r="Q39" s="4" t="s">
        <v>33</v>
      </c>
      <c r="R39" s="4" t="s">
        <v>34</v>
      </c>
      <c r="S39" s="4">
        <v>360164</v>
      </c>
      <c r="T39" s="4">
        <v>20000054397</v>
      </c>
      <c r="U39" s="4">
        <v>20</v>
      </c>
      <c r="V39" s="4">
        <v>0</v>
      </c>
      <c r="W39" s="4">
        <v>0</v>
      </c>
      <c r="X39" s="4">
        <v>2110.7399999999998</v>
      </c>
      <c r="Y39" s="4">
        <v>13535.8</v>
      </c>
      <c r="Z39" s="4">
        <v>11405.06</v>
      </c>
      <c r="AA39" s="4" t="s">
        <v>35</v>
      </c>
    </row>
    <row r="40" spans="1:29" x14ac:dyDescent="0.3">
      <c r="A40" s="4" t="s">
        <v>29</v>
      </c>
      <c r="B40" s="4">
        <v>3193921</v>
      </c>
      <c r="C40" s="4">
        <v>3193921</v>
      </c>
      <c r="D40" s="4" t="s">
        <v>37</v>
      </c>
      <c r="E40" s="4" t="s">
        <v>54</v>
      </c>
      <c r="F40" s="4" t="s">
        <v>119</v>
      </c>
      <c r="G40" s="5">
        <v>19875</v>
      </c>
      <c r="H40" s="4">
        <f>DAY(G40)</f>
        <v>31</v>
      </c>
      <c r="I40" s="4">
        <f>MONTH(G40)</f>
        <v>5</v>
      </c>
      <c r="J40" s="4">
        <f>YEAR(G40)</f>
        <v>1954</v>
      </c>
      <c r="K40" s="6">
        <v>5405311100024</v>
      </c>
      <c r="L40" s="5">
        <v>41791</v>
      </c>
      <c r="M40" s="5">
        <v>45474</v>
      </c>
      <c r="N40" s="5">
        <v>45838</v>
      </c>
      <c r="O40" s="4">
        <v>14054.36</v>
      </c>
      <c r="P40" s="4">
        <v>1</v>
      </c>
      <c r="Q40" s="4" t="s">
        <v>33</v>
      </c>
      <c r="R40" s="4" t="s">
        <v>34</v>
      </c>
      <c r="S40" s="4">
        <v>663164</v>
      </c>
      <c r="T40" s="4">
        <v>9110002788481</v>
      </c>
      <c r="U40" s="4">
        <v>0</v>
      </c>
      <c r="V40" s="4">
        <v>0</v>
      </c>
      <c r="W40" s="4">
        <v>0</v>
      </c>
      <c r="X40" s="4">
        <v>2266.3000000000002</v>
      </c>
      <c r="Y40" s="4">
        <v>14054.36</v>
      </c>
      <c r="Z40" s="4">
        <v>11788.06</v>
      </c>
      <c r="AA40" s="4" t="s">
        <v>35</v>
      </c>
      <c r="AC40" s="4" t="s">
        <v>120</v>
      </c>
    </row>
    <row r="41" spans="1:29" x14ac:dyDescent="0.3">
      <c r="A41" s="4" t="s">
        <v>29</v>
      </c>
      <c r="B41" s="4">
        <v>3215698</v>
      </c>
      <c r="C41" s="4">
        <v>3215698</v>
      </c>
      <c r="D41" s="4" t="s">
        <v>40</v>
      </c>
      <c r="E41" s="4" t="s">
        <v>54</v>
      </c>
      <c r="F41" s="4" t="s">
        <v>121</v>
      </c>
      <c r="G41" s="5">
        <v>21695</v>
      </c>
      <c r="H41" s="4">
        <f>DAY(G41)</f>
        <v>25</v>
      </c>
      <c r="I41" s="4">
        <f>MONTH(G41)</f>
        <v>5</v>
      </c>
      <c r="J41" s="4">
        <f>YEAR(G41)</f>
        <v>1959</v>
      </c>
      <c r="K41" s="6">
        <v>5905256100251</v>
      </c>
      <c r="L41" s="5">
        <v>43617</v>
      </c>
      <c r="M41" s="5">
        <v>45474</v>
      </c>
      <c r="N41" s="5">
        <v>45838</v>
      </c>
      <c r="O41" s="4">
        <v>1692.72</v>
      </c>
      <c r="P41" s="4">
        <v>1</v>
      </c>
      <c r="Q41" s="4" t="s">
        <v>33</v>
      </c>
      <c r="R41" s="4" t="s">
        <v>34</v>
      </c>
      <c r="S41" s="4">
        <v>90005</v>
      </c>
      <c r="T41" s="4">
        <v>51000175718</v>
      </c>
      <c r="U41" s="4">
        <v>0</v>
      </c>
      <c r="V41" s="4">
        <v>0</v>
      </c>
      <c r="W41" s="4">
        <v>0</v>
      </c>
      <c r="X41" s="4">
        <v>0</v>
      </c>
      <c r="Y41" s="4">
        <v>1692.72</v>
      </c>
      <c r="Z41" s="4">
        <v>1692.72</v>
      </c>
      <c r="AA41" s="4" t="s">
        <v>35</v>
      </c>
    </row>
    <row r="42" spans="1:29" x14ac:dyDescent="0.3">
      <c r="A42" s="4" t="s">
        <v>29</v>
      </c>
      <c r="B42" s="4">
        <v>3240119</v>
      </c>
      <c r="C42" s="4">
        <v>3240119</v>
      </c>
      <c r="D42" s="4" t="s">
        <v>122</v>
      </c>
      <c r="E42" s="4" t="s">
        <v>86</v>
      </c>
      <c r="F42" s="4" t="s">
        <v>123</v>
      </c>
      <c r="G42" s="5">
        <v>22062</v>
      </c>
      <c r="H42" s="4">
        <f>DAY(G42)</f>
        <v>26</v>
      </c>
      <c r="I42" s="4">
        <f>MONTH(G42)</f>
        <v>5</v>
      </c>
      <c r="J42" s="4">
        <f>YEAR(G42)</f>
        <v>1960</v>
      </c>
      <c r="K42" s="6">
        <v>216001003240119</v>
      </c>
      <c r="L42" s="5">
        <v>43983</v>
      </c>
      <c r="M42" s="5">
        <v>45474</v>
      </c>
      <c r="N42" s="5">
        <v>45838</v>
      </c>
      <c r="O42" s="4">
        <v>7648.55</v>
      </c>
      <c r="P42" s="4">
        <v>1</v>
      </c>
      <c r="Q42" s="4" t="s">
        <v>33</v>
      </c>
      <c r="R42" s="4" t="s">
        <v>34</v>
      </c>
      <c r="S42" s="4">
        <v>90001</v>
      </c>
      <c r="T42" s="4">
        <v>51001710552</v>
      </c>
      <c r="U42" s="4">
        <v>20</v>
      </c>
      <c r="V42" s="4">
        <v>0</v>
      </c>
      <c r="W42" s="4">
        <v>0</v>
      </c>
      <c r="X42" s="4">
        <v>621.37</v>
      </c>
      <c r="Y42" s="4">
        <v>7648.55</v>
      </c>
      <c r="Z42" s="4">
        <v>7007.18</v>
      </c>
      <c r="AA42" s="4" t="s">
        <v>35</v>
      </c>
    </row>
    <row r="43" spans="1:29" x14ac:dyDescent="0.3">
      <c r="A43" s="4" t="s">
        <v>29</v>
      </c>
      <c r="B43" s="4">
        <v>3260447</v>
      </c>
      <c r="C43" s="4">
        <v>3260447</v>
      </c>
      <c r="D43" s="4" t="s">
        <v>101</v>
      </c>
      <c r="E43" s="4" t="s">
        <v>68</v>
      </c>
      <c r="F43" s="4" t="s">
        <v>124</v>
      </c>
      <c r="G43" s="5">
        <v>21677</v>
      </c>
      <c r="H43" s="4">
        <f>DAY(G43)</f>
        <v>7</v>
      </c>
      <c r="I43" s="4">
        <f>MONTH(G43)</f>
        <v>5</v>
      </c>
      <c r="J43" s="4">
        <f>YEAR(G43)</f>
        <v>1959</v>
      </c>
      <c r="K43" s="6">
        <v>5905071100049</v>
      </c>
      <c r="L43" s="5">
        <v>43617</v>
      </c>
      <c r="M43" s="5">
        <v>45474</v>
      </c>
      <c r="N43" s="5">
        <v>45838</v>
      </c>
      <c r="O43" s="4">
        <v>9002.57</v>
      </c>
      <c r="P43" s="4">
        <v>1</v>
      </c>
      <c r="Q43" s="4" t="s">
        <v>33</v>
      </c>
      <c r="R43" s="4" t="s">
        <v>34</v>
      </c>
      <c r="S43" s="4">
        <v>90001</v>
      </c>
      <c r="T43" s="4">
        <v>51000230581</v>
      </c>
      <c r="U43" s="4">
        <v>0</v>
      </c>
      <c r="V43" s="4">
        <v>0</v>
      </c>
      <c r="W43" s="4">
        <v>0</v>
      </c>
      <c r="X43" s="4">
        <v>925.64</v>
      </c>
      <c r="Y43" s="4">
        <v>9002.57</v>
      </c>
      <c r="Z43" s="4">
        <v>8076.93</v>
      </c>
      <c r="AA43" s="4" t="s">
        <v>35</v>
      </c>
    </row>
    <row r="44" spans="1:29" x14ac:dyDescent="0.3">
      <c r="A44" s="4" t="s">
        <v>29</v>
      </c>
      <c r="B44" s="4">
        <v>3273906</v>
      </c>
      <c r="C44" s="4">
        <v>3273906</v>
      </c>
      <c r="D44" s="4" t="s">
        <v>125</v>
      </c>
      <c r="E44" s="4" t="s">
        <v>54</v>
      </c>
      <c r="F44" s="4" t="s">
        <v>126</v>
      </c>
      <c r="G44" s="5">
        <v>22423</v>
      </c>
      <c r="H44" s="4">
        <f>DAY(G44)</f>
        <v>22</v>
      </c>
      <c r="I44" s="4">
        <f>MONTH(G44)</f>
        <v>5</v>
      </c>
      <c r="J44" s="4">
        <f>YEAR(G44)</f>
        <v>1961</v>
      </c>
      <c r="K44" s="6">
        <v>216001003273906</v>
      </c>
      <c r="L44" s="5">
        <v>44348</v>
      </c>
      <c r="M44" s="5">
        <v>45474</v>
      </c>
      <c r="N44" s="5">
        <v>45838</v>
      </c>
      <c r="O44" s="4">
        <v>5411.34</v>
      </c>
      <c r="P44" s="4">
        <v>1</v>
      </c>
      <c r="Q44" s="4" t="s">
        <v>33</v>
      </c>
      <c r="R44" s="4" t="s">
        <v>34</v>
      </c>
      <c r="S44" s="4">
        <v>360164</v>
      </c>
      <c r="T44" s="4">
        <v>20000030709</v>
      </c>
      <c r="U44" s="4">
        <v>0</v>
      </c>
      <c r="V44" s="4">
        <v>0</v>
      </c>
      <c r="W44" s="4">
        <v>0</v>
      </c>
      <c r="X44" s="4">
        <v>173.93</v>
      </c>
      <c r="Y44" s="4">
        <v>5411.34</v>
      </c>
      <c r="Z44" s="4">
        <v>5237.41</v>
      </c>
      <c r="AA44" s="4" t="s">
        <v>35</v>
      </c>
    </row>
    <row r="45" spans="1:29" x14ac:dyDescent="0.3">
      <c r="A45" s="4" t="s">
        <v>29</v>
      </c>
      <c r="B45" s="4">
        <v>3331651</v>
      </c>
      <c r="C45" s="4">
        <v>3331651</v>
      </c>
      <c r="D45" s="4" t="s">
        <v>37</v>
      </c>
      <c r="E45" s="4" t="s">
        <v>38</v>
      </c>
      <c r="F45" s="4" t="s">
        <v>127</v>
      </c>
      <c r="G45" s="5">
        <v>23504</v>
      </c>
      <c r="H45" s="4">
        <f>DAY(G45)</f>
        <v>7</v>
      </c>
      <c r="I45" s="4">
        <f>MONTH(G45)</f>
        <v>5</v>
      </c>
      <c r="J45" s="4">
        <f>YEAR(G45)</f>
        <v>1964</v>
      </c>
      <c r="K45" s="6">
        <v>6403071100200</v>
      </c>
      <c r="L45" s="5">
        <v>40756</v>
      </c>
      <c r="M45" s="5">
        <v>45474</v>
      </c>
      <c r="N45" s="5">
        <v>45838</v>
      </c>
      <c r="O45" s="4">
        <v>5881.18</v>
      </c>
      <c r="P45" s="4">
        <v>1</v>
      </c>
      <c r="Q45" s="4" t="s">
        <v>33</v>
      </c>
      <c r="R45" s="4" t="s">
        <v>34</v>
      </c>
      <c r="S45" s="4">
        <v>770001</v>
      </c>
      <c r="T45" s="4">
        <v>1040120154302</v>
      </c>
      <c r="U45" s="4">
        <v>0</v>
      </c>
      <c r="V45" s="4">
        <v>0</v>
      </c>
      <c r="W45" s="4">
        <v>0</v>
      </c>
      <c r="X45" s="4">
        <v>267.89999999999998</v>
      </c>
      <c r="Y45" s="4">
        <v>5881.18</v>
      </c>
      <c r="Z45" s="4">
        <v>5613.28</v>
      </c>
      <c r="AA45" s="4" t="s">
        <v>35</v>
      </c>
      <c r="AB45" s="4" t="s">
        <v>36</v>
      </c>
    </row>
    <row r="46" spans="1:29" x14ac:dyDescent="0.3">
      <c r="A46" s="4" t="s">
        <v>29</v>
      </c>
      <c r="B46" s="4">
        <v>3336065</v>
      </c>
      <c r="C46" s="4">
        <v>3336065</v>
      </c>
      <c r="D46" s="4" t="s">
        <v>128</v>
      </c>
      <c r="E46" s="4" t="s">
        <v>68</v>
      </c>
      <c r="F46" s="4" t="s">
        <v>129</v>
      </c>
      <c r="G46" s="5">
        <v>22415</v>
      </c>
      <c r="H46" s="4">
        <f>DAY(G46)</f>
        <v>14</v>
      </c>
      <c r="I46" s="4">
        <f>MONTH(G46)</f>
        <v>5</v>
      </c>
      <c r="J46" s="4">
        <f>YEAR(G46)</f>
        <v>1961</v>
      </c>
      <c r="K46" s="6">
        <v>5905141100045</v>
      </c>
      <c r="L46" s="5">
        <v>38961</v>
      </c>
      <c r="M46" s="5">
        <v>45474</v>
      </c>
      <c r="N46" s="5">
        <v>45838</v>
      </c>
      <c r="O46" s="4">
        <v>2043.21</v>
      </c>
      <c r="P46" s="4">
        <v>1</v>
      </c>
      <c r="Q46" s="4" t="s">
        <v>33</v>
      </c>
      <c r="R46" s="4" t="s">
        <v>34</v>
      </c>
      <c r="S46" s="4">
        <v>660564</v>
      </c>
      <c r="T46" s="4">
        <v>9110002395021</v>
      </c>
      <c r="U46" s="4">
        <v>0</v>
      </c>
      <c r="V46" s="4">
        <v>0</v>
      </c>
      <c r="W46" s="4">
        <v>0</v>
      </c>
      <c r="X46" s="4">
        <v>0</v>
      </c>
      <c r="Y46" s="4">
        <v>2043.21</v>
      </c>
      <c r="Z46" s="4">
        <v>2043.21</v>
      </c>
      <c r="AA46" s="4" t="s">
        <v>35</v>
      </c>
      <c r="AB46" s="4" t="s">
        <v>36</v>
      </c>
    </row>
    <row r="47" spans="1:29" x14ac:dyDescent="0.3">
      <c r="A47" s="4" t="s">
        <v>29</v>
      </c>
      <c r="B47" s="4">
        <v>3352313</v>
      </c>
      <c r="C47" s="4">
        <v>3352313</v>
      </c>
      <c r="D47" s="4" t="s">
        <v>130</v>
      </c>
      <c r="E47" s="4" t="s">
        <v>54</v>
      </c>
      <c r="F47" s="4" t="s">
        <v>131</v>
      </c>
      <c r="G47" s="5">
        <v>22044</v>
      </c>
      <c r="H47" s="4">
        <f>DAY(G47)</f>
        <v>8</v>
      </c>
      <c r="I47" s="4">
        <f>MONTH(G47)</f>
        <v>5</v>
      </c>
      <c r="J47" s="4">
        <f>YEAR(G47)</f>
        <v>1960</v>
      </c>
      <c r="K47" s="6">
        <v>216001003352313</v>
      </c>
      <c r="L47" s="5">
        <v>43983</v>
      </c>
      <c r="M47" s="5">
        <v>45474</v>
      </c>
      <c r="N47" s="5">
        <v>45838</v>
      </c>
      <c r="O47" s="4">
        <v>6605.89</v>
      </c>
      <c r="P47" s="4">
        <v>1</v>
      </c>
      <c r="Q47" s="4" t="s">
        <v>33</v>
      </c>
      <c r="R47" s="4" t="s">
        <v>34</v>
      </c>
      <c r="S47" s="4">
        <v>90001</v>
      </c>
      <c r="T47" s="4">
        <v>51000597248</v>
      </c>
      <c r="U47" s="4">
        <v>0</v>
      </c>
      <c r="V47" s="4">
        <v>0</v>
      </c>
      <c r="W47" s="4">
        <v>0</v>
      </c>
      <c r="X47" s="4">
        <v>412.84</v>
      </c>
      <c r="Y47" s="4">
        <v>6605.89</v>
      </c>
      <c r="Z47" s="4">
        <v>6193.05</v>
      </c>
      <c r="AA47" s="4" t="s">
        <v>35</v>
      </c>
    </row>
    <row r="48" spans="1:29" x14ac:dyDescent="0.3">
      <c r="A48" s="4" t="s">
        <v>29</v>
      </c>
      <c r="B48" s="4">
        <v>3452808</v>
      </c>
      <c r="C48" s="4">
        <v>3452808</v>
      </c>
      <c r="D48" s="4" t="s">
        <v>125</v>
      </c>
      <c r="E48" s="4" t="s">
        <v>51</v>
      </c>
      <c r="F48" s="4" t="s">
        <v>132</v>
      </c>
      <c r="G48" s="5">
        <v>19870</v>
      </c>
      <c r="H48" s="4">
        <f>DAY(G48)</f>
        <v>26</v>
      </c>
      <c r="I48" s="4">
        <f>MONTH(G48)</f>
        <v>5</v>
      </c>
      <c r="J48" s="4">
        <f>YEAR(G48)</f>
        <v>1954</v>
      </c>
      <c r="K48" s="6">
        <v>5405261100024</v>
      </c>
      <c r="L48" s="5">
        <v>41153</v>
      </c>
      <c r="M48" s="5">
        <v>45474</v>
      </c>
      <c r="N48" s="5">
        <v>45838</v>
      </c>
      <c r="O48" s="4">
        <v>1864.63</v>
      </c>
      <c r="P48" s="4">
        <v>1</v>
      </c>
      <c r="Q48" s="4" t="s">
        <v>33</v>
      </c>
      <c r="R48" s="4" t="s">
        <v>34</v>
      </c>
      <c r="S48" s="4">
        <v>770001</v>
      </c>
      <c r="T48" s="4">
        <v>77011453419</v>
      </c>
      <c r="U48" s="4">
        <v>0</v>
      </c>
      <c r="V48" s="4">
        <v>0</v>
      </c>
      <c r="W48" s="4">
        <v>0</v>
      </c>
      <c r="X48" s="4">
        <v>0</v>
      </c>
      <c r="Y48" s="4">
        <v>1864.63</v>
      </c>
      <c r="Z48" s="4">
        <v>1864.63</v>
      </c>
      <c r="AA48" s="4" t="s">
        <v>35</v>
      </c>
    </row>
    <row r="49" spans="1:29" x14ac:dyDescent="0.3">
      <c r="A49" s="4" t="s">
        <v>29</v>
      </c>
      <c r="B49" s="4">
        <v>3464861</v>
      </c>
      <c r="C49" s="4">
        <v>3464861</v>
      </c>
      <c r="D49" s="4" t="s">
        <v>133</v>
      </c>
      <c r="E49" s="4" t="s">
        <v>134</v>
      </c>
      <c r="F49" s="4" t="s">
        <v>135</v>
      </c>
      <c r="G49" s="5">
        <v>23147</v>
      </c>
      <c r="H49" s="4">
        <f>DAY(G49)</f>
        <v>16</v>
      </c>
      <c r="I49" s="4">
        <f>MONTH(G49)</f>
        <v>5</v>
      </c>
      <c r="J49" s="4">
        <f>YEAR(G49)</f>
        <v>1963</v>
      </c>
      <c r="K49" s="6">
        <v>6305161100034</v>
      </c>
      <c r="L49" s="5">
        <v>45078</v>
      </c>
      <c r="M49" s="5">
        <v>45474</v>
      </c>
      <c r="N49" s="5">
        <v>45838</v>
      </c>
      <c r="O49" s="4">
        <v>9215.9599999999991</v>
      </c>
      <c r="P49" s="4">
        <v>1</v>
      </c>
      <c r="Q49" s="4" t="s">
        <v>33</v>
      </c>
      <c r="R49" s="4" t="s">
        <v>34</v>
      </c>
      <c r="S49" s="4">
        <v>360164</v>
      </c>
      <c r="T49" s="4">
        <v>20000245055</v>
      </c>
      <c r="U49" s="4">
        <v>20</v>
      </c>
      <c r="V49" s="4">
        <v>0</v>
      </c>
      <c r="W49" s="4">
        <v>0</v>
      </c>
      <c r="X49" s="4">
        <v>978.99</v>
      </c>
      <c r="Y49" s="4">
        <v>9215.9599999999991</v>
      </c>
      <c r="Z49" s="4">
        <v>8216.9699999999993</v>
      </c>
      <c r="AA49" s="4" t="s">
        <v>35</v>
      </c>
    </row>
    <row r="50" spans="1:29" x14ac:dyDescent="0.3">
      <c r="A50" s="4" t="s">
        <v>29</v>
      </c>
      <c r="B50" s="4">
        <v>3514849</v>
      </c>
      <c r="C50" s="4">
        <v>3514849</v>
      </c>
      <c r="D50" s="4" t="s">
        <v>136</v>
      </c>
      <c r="E50" s="4" t="s">
        <v>41</v>
      </c>
      <c r="F50" s="4" t="s">
        <v>137</v>
      </c>
      <c r="G50" s="5">
        <v>23524</v>
      </c>
      <c r="H50" s="4">
        <f>DAY(G50)</f>
        <v>27</v>
      </c>
      <c r="I50" s="4">
        <f>MONTH(G50)</f>
        <v>5</v>
      </c>
      <c r="J50" s="4">
        <f>YEAR(G50)</f>
        <v>1964</v>
      </c>
      <c r="K50" s="6">
        <v>6405271100054</v>
      </c>
      <c r="L50" s="5">
        <v>45444</v>
      </c>
      <c r="M50" s="5">
        <v>45444</v>
      </c>
      <c r="N50" s="5">
        <v>45838</v>
      </c>
      <c r="O50" s="4">
        <v>1881.11</v>
      </c>
      <c r="P50" s="4">
        <v>1</v>
      </c>
      <c r="Q50" s="4" t="s">
        <v>33</v>
      </c>
      <c r="R50" s="4" t="s">
        <v>34</v>
      </c>
      <c r="S50" s="4">
        <v>90001</v>
      </c>
      <c r="T50" s="4">
        <v>51000615955</v>
      </c>
      <c r="U50" s="4">
        <v>20</v>
      </c>
      <c r="V50" s="4">
        <v>0</v>
      </c>
      <c r="W50" s="4">
        <v>0</v>
      </c>
      <c r="X50" s="4">
        <v>0</v>
      </c>
      <c r="Y50" s="4">
        <v>1881.11</v>
      </c>
      <c r="Z50" s="4">
        <v>1861.11</v>
      </c>
      <c r="AA50" s="4" t="s">
        <v>35</v>
      </c>
    </row>
    <row r="51" spans="1:29" x14ac:dyDescent="0.3">
      <c r="A51" s="4" t="s">
        <v>29</v>
      </c>
      <c r="B51" s="4">
        <v>3526163</v>
      </c>
      <c r="C51" s="4">
        <v>3526163</v>
      </c>
      <c r="D51" s="4" t="s">
        <v>133</v>
      </c>
      <c r="E51" s="4" t="s">
        <v>68</v>
      </c>
      <c r="F51" s="4" t="s">
        <v>138</v>
      </c>
      <c r="G51" s="5">
        <v>25338</v>
      </c>
      <c r="H51" s="4">
        <f>DAY(G51)</f>
        <v>15</v>
      </c>
      <c r="I51" s="4">
        <f>MONTH(G51)</f>
        <v>5</v>
      </c>
      <c r="J51" s="4">
        <f>YEAR(G51)</f>
        <v>1969</v>
      </c>
      <c r="K51" s="6">
        <v>6905151100124</v>
      </c>
      <c r="L51" s="5">
        <v>44652</v>
      </c>
      <c r="M51" s="5">
        <v>45474</v>
      </c>
      <c r="N51" s="5">
        <v>45838</v>
      </c>
      <c r="O51" s="4">
        <v>7279.06</v>
      </c>
      <c r="P51" s="4">
        <v>1</v>
      </c>
      <c r="Q51" s="4" t="s">
        <v>33</v>
      </c>
      <c r="R51" s="4" t="s">
        <v>34</v>
      </c>
      <c r="S51" s="4">
        <v>286064</v>
      </c>
      <c r="T51" s="4">
        <v>62807667524</v>
      </c>
      <c r="U51" s="4">
        <v>0</v>
      </c>
      <c r="V51" s="4">
        <v>0</v>
      </c>
      <c r="W51" s="4">
        <v>0</v>
      </c>
      <c r="X51" s="4">
        <v>772.47</v>
      </c>
      <c r="Y51" s="4">
        <v>7279.06</v>
      </c>
      <c r="Z51" s="4">
        <v>6506.59</v>
      </c>
      <c r="AA51" s="4" t="s">
        <v>35</v>
      </c>
    </row>
    <row r="52" spans="1:29" x14ac:dyDescent="0.3">
      <c r="A52" s="4" t="s">
        <v>29</v>
      </c>
      <c r="B52" s="4">
        <v>3532924</v>
      </c>
      <c r="C52" s="4">
        <v>3532924</v>
      </c>
      <c r="D52" s="4" t="s">
        <v>139</v>
      </c>
      <c r="E52" s="4" t="s">
        <v>140</v>
      </c>
      <c r="F52" s="4" t="s">
        <v>141</v>
      </c>
      <c r="G52" s="5">
        <v>23873</v>
      </c>
      <c r="H52" s="4">
        <f>DAY(G52)</f>
        <v>11</v>
      </c>
      <c r="I52" s="4">
        <f>MONTH(G52)</f>
        <v>5</v>
      </c>
      <c r="J52" s="4">
        <f>YEAR(G52)</f>
        <v>1965</v>
      </c>
      <c r="K52" s="6">
        <v>6506191100015</v>
      </c>
      <c r="L52" s="5">
        <v>45809</v>
      </c>
      <c r="M52" s="5">
        <v>45809</v>
      </c>
      <c r="N52" s="5">
        <v>45838</v>
      </c>
      <c r="O52" s="4">
        <v>5939.05</v>
      </c>
      <c r="P52" s="4">
        <v>1</v>
      </c>
      <c r="Q52" s="4" t="s">
        <v>33</v>
      </c>
      <c r="R52" s="4" t="s">
        <v>34</v>
      </c>
      <c r="S52" s="4">
        <v>281064</v>
      </c>
      <c r="T52" s="4">
        <v>62056919049</v>
      </c>
      <c r="U52" s="4">
        <v>0</v>
      </c>
      <c r="V52" s="4">
        <v>0</v>
      </c>
      <c r="W52" s="4">
        <v>0</v>
      </c>
      <c r="X52" s="4">
        <v>279.47000000000003</v>
      </c>
      <c r="Y52" s="4">
        <v>5939.05</v>
      </c>
      <c r="Z52" s="4">
        <v>5659.58</v>
      </c>
      <c r="AA52" s="4" t="s">
        <v>35</v>
      </c>
    </row>
    <row r="53" spans="1:29" x14ac:dyDescent="0.3">
      <c r="A53" s="4" t="s">
        <v>29</v>
      </c>
      <c r="B53" s="4">
        <v>3542394</v>
      </c>
      <c r="C53" s="4">
        <v>3542394</v>
      </c>
      <c r="D53" s="4" t="s">
        <v>88</v>
      </c>
      <c r="E53" s="4" t="s">
        <v>142</v>
      </c>
      <c r="F53" s="4" t="s">
        <v>143</v>
      </c>
      <c r="G53" s="5">
        <v>23503</v>
      </c>
      <c r="H53" s="4">
        <f>DAY(G53)</f>
        <v>6</v>
      </c>
      <c r="I53" s="4">
        <f>MONTH(G53)</f>
        <v>5</v>
      </c>
      <c r="J53" s="4">
        <f>YEAR(G53)</f>
        <v>1964</v>
      </c>
      <c r="K53" s="6">
        <v>6808086100310</v>
      </c>
      <c r="L53" s="5">
        <v>44866</v>
      </c>
      <c r="M53" s="5">
        <v>45474</v>
      </c>
      <c r="N53" s="5">
        <v>45838</v>
      </c>
      <c r="O53" s="4">
        <v>8768.74</v>
      </c>
      <c r="P53" s="4">
        <v>1</v>
      </c>
      <c r="Q53" s="4" t="s">
        <v>33</v>
      </c>
      <c r="R53" s="4" t="s">
        <v>34</v>
      </c>
      <c r="S53" s="4">
        <v>90001</v>
      </c>
      <c r="T53" s="4">
        <v>52000538622</v>
      </c>
      <c r="U53" s="4">
        <v>0</v>
      </c>
      <c r="V53" s="4">
        <v>0</v>
      </c>
      <c r="W53" s="4">
        <v>0</v>
      </c>
      <c r="X53" s="4">
        <v>867.18</v>
      </c>
      <c r="Y53" s="4">
        <v>8768.74</v>
      </c>
      <c r="Z53" s="4">
        <v>7901.56</v>
      </c>
      <c r="AA53" s="4" t="s">
        <v>35</v>
      </c>
    </row>
    <row r="54" spans="1:29" x14ac:dyDescent="0.3">
      <c r="A54" s="4" t="s">
        <v>29</v>
      </c>
      <c r="B54" s="4">
        <v>3581760</v>
      </c>
      <c r="C54" s="4">
        <v>3581760</v>
      </c>
      <c r="D54" s="4" t="s">
        <v>40</v>
      </c>
      <c r="E54" s="4" t="s">
        <v>51</v>
      </c>
      <c r="F54" s="4" t="s">
        <v>144</v>
      </c>
      <c r="G54" s="5">
        <v>25335</v>
      </c>
      <c r="H54" s="4">
        <f>DAY(G54)</f>
        <v>12</v>
      </c>
      <c r="I54" s="4">
        <f>MONTH(G54)</f>
        <v>5</v>
      </c>
      <c r="J54" s="4">
        <f>YEAR(G54)</f>
        <v>1969</v>
      </c>
      <c r="K54" s="6">
        <v>6905121100030</v>
      </c>
      <c r="L54" s="5">
        <v>41791</v>
      </c>
      <c r="M54" s="5">
        <v>45474</v>
      </c>
      <c r="N54" s="5">
        <v>45838</v>
      </c>
      <c r="O54" s="4">
        <v>1655.86</v>
      </c>
      <c r="P54" s="4">
        <v>1</v>
      </c>
      <c r="Q54" s="4" t="s">
        <v>33</v>
      </c>
      <c r="R54" s="4" t="s">
        <v>34</v>
      </c>
      <c r="S54" s="4">
        <v>280164</v>
      </c>
      <c r="T54" s="4">
        <v>62471034589</v>
      </c>
      <c r="U54" s="4">
        <v>0</v>
      </c>
      <c r="V54" s="4">
        <v>0</v>
      </c>
      <c r="W54" s="4">
        <v>0</v>
      </c>
      <c r="X54" s="4">
        <v>0</v>
      </c>
      <c r="Y54" s="4">
        <v>1655.86</v>
      </c>
      <c r="Z54" s="4">
        <v>1655.86</v>
      </c>
      <c r="AA54" s="4" t="s">
        <v>35</v>
      </c>
    </row>
    <row r="55" spans="1:29" x14ac:dyDescent="0.3">
      <c r="A55" s="4" t="s">
        <v>29</v>
      </c>
      <c r="B55" s="4">
        <v>3594092</v>
      </c>
      <c r="C55" s="4">
        <v>3594092</v>
      </c>
      <c r="D55" s="4" t="s">
        <v>145</v>
      </c>
      <c r="E55" s="4" t="s">
        <v>146</v>
      </c>
      <c r="F55" s="4" t="s">
        <v>147</v>
      </c>
      <c r="G55" s="5">
        <v>25690</v>
      </c>
      <c r="H55" s="4">
        <f>DAY(G55)</f>
        <v>2</v>
      </c>
      <c r="I55" s="4">
        <f>MONTH(G55)</f>
        <v>5</v>
      </c>
      <c r="J55" s="4">
        <f>YEAR(G55)</f>
        <v>1970</v>
      </c>
      <c r="K55" s="6">
        <v>7005021100047</v>
      </c>
      <c r="L55" s="5">
        <v>42156</v>
      </c>
      <c r="M55" s="5">
        <v>45474</v>
      </c>
      <c r="N55" s="5">
        <v>45838</v>
      </c>
      <c r="O55" s="4">
        <v>2663.18</v>
      </c>
      <c r="P55" s="4">
        <v>1</v>
      </c>
      <c r="Q55" s="4" t="s">
        <v>33</v>
      </c>
      <c r="R55" s="4" t="s">
        <v>34</v>
      </c>
      <c r="S55" s="4">
        <v>282064</v>
      </c>
      <c r="T55" s="4">
        <v>62530633074</v>
      </c>
      <c r="U55" s="4">
        <v>0</v>
      </c>
      <c r="V55" s="4">
        <v>0</v>
      </c>
      <c r="W55" s="4">
        <v>0</v>
      </c>
      <c r="X55" s="4">
        <v>0</v>
      </c>
      <c r="Y55" s="4">
        <v>2663.18</v>
      </c>
      <c r="Z55" s="4">
        <v>2663.18</v>
      </c>
      <c r="AA55" s="4" t="s">
        <v>35</v>
      </c>
      <c r="AC55" s="4" t="s">
        <v>120</v>
      </c>
    </row>
    <row r="56" spans="1:29" x14ac:dyDescent="0.3">
      <c r="A56" s="4" t="s">
        <v>29</v>
      </c>
      <c r="B56" s="4">
        <v>3628911</v>
      </c>
      <c r="C56" s="4">
        <v>3628911</v>
      </c>
      <c r="D56" s="4" t="s">
        <v>148</v>
      </c>
      <c r="E56" s="4" t="s">
        <v>51</v>
      </c>
      <c r="F56" s="4" t="s">
        <v>149</v>
      </c>
      <c r="G56" s="5">
        <v>27904</v>
      </c>
      <c r="H56" s="4">
        <f>DAY(G56)</f>
        <v>24</v>
      </c>
      <c r="I56" s="4">
        <f>MONTH(G56)</f>
        <v>5</v>
      </c>
      <c r="J56" s="4">
        <f>YEAR(G56)</f>
        <v>1976</v>
      </c>
      <c r="K56" s="6">
        <v>7605246100027</v>
      </c>
      <c r="L56" s="5">
        <v>45597</v>
      </c>
      <c r="M56" s="5">
        <v>45597</v>
      </c>
      <c r="N56" s="5">
        <v>45838</v>
      </c>
      <c r="O56" s="4">
        <v>1958.06</v>
      </c>
      <c r="P56" s="4">
        <v>1</v>
      </c>
      <c r="Q56" s="4" t="s">
        <v>33</v>
      </c>
      <c r="R56" s="4" t="s">
        <v>34</v>
      </c>
      <c r="S56" s="4">
        <v>360264</v>
      </c>
      <c r="T56" s="4">
        <v>80000029223</v>
      </c>
      <c r="U56" s="4">
        <v>0</v>
      </c>
      <c r="V56" s="4">
        <v>0</v>
      </c>
      <c r="W56" s="4">
        <v>0</v>
      </c>
      <c r="X56" s="4">
        <v>0</v>
      </c>
      <c r="Y56" s="4">
        <v>1958.06</v>
      </c>
      <c r="Z56" s="4">
        <v>1958.06</v>
      </c>
      <c r="AA56" s="4" t="s">
        <v>35</v>
      </c>
    </row>
    <row r="57" spans="1:29" x14ac:dyDescent="0.3">
      <c r="A57" s="4" t="s">
        <v>29</v>
      </c>
      <c r="B57" s="4">
        <v>3680948</v>
      </c>
      <c r="C57" s="4">
        <v>3680948</v>
      </c>
      <c r="D57" s="4" t="s">
        <v>150</v>
      </c>
      <c r="E57" s="4" t="s">
        <v>151</v>
      </c>
      <c r="F57" s="4" t="s">
        <v>152</v>
      </c>
      <c r="G57" s="5">
        <v>27889</v>
      </c>
      <c r="H57" s="4">
        <f>DAY(G57)</f>
        <v>9</v>
      </c>
      <c r="I57" s="4">
        <f>MONTH(G57)</f>
        <v>5</v>
      </c>
      <c r="J57" s="4">
        <f>YEAR(G57)</f>
        <v>1976</v>
      </c>
      <c r="K57" s="6">
        <v>7605096100036</v>
      </c>
      <c r="L57" s="5">
        <v>44348</v>
      </c>
      <c r="M57" s="5">
        <v>45474</v>
      </c>
      <c r="N57" s="5">
        <v>45838</v>
      </c>
      <c r="O57" s="4">
        <v>1967.95</v>
      </c>
      <c r="P57" s="4">
        <v>1</v>
      </c>
      <c r="Q57" s="4" t="s">
        <v>33</v>
      </c>
      <c r="R57" s="4" t="s">
        <v>34</v>
      </c>
      <c r="S57" s="4">
        <v>660564</v>
      </c>
      <c r="T57" s="4">
        <v>9110002024686</v>
      </c>
      <c r="U57" s="4">
        <v>0</v>
      </c>
      <c r="V57" s="4">
        <v>0</v>
      </c>
      <c r="W57" s="4">
        <v>0</v>
      </c>
      <c r="X57" s="4">
        <v>0</v>
      </c>
      <c r="Y57" s="4">
        <v>1967.95</v>
      </c>
      <c r="Z57" s="4">
        <v>1967.95</v>
      </c>
      <c r="AA57" s="4" t="s">
        <v>35</v>
      </c>
    </row>
    <row r="58" spans="1:29" x14ac:dyDescent="0.3">
      <c r="A58" s="4" t="s">
        <v>29</v>
      </c>
      <c r="B58" s="4">
        <v>3710430</v>
      </c>
      <c r="C58" s="4">
        <v>3710430</v>
      </c>
      <c r="D58" s="4" t="s">
        <v>153</v>
      </c>
      <c r="E58" s="4" t="s">
        <v>134</v>
      </c>
      <c r="F58" s="4" t="s">
        <v>154</v>
      </c>
      <c r="G58" s="5">
        <v>27156</v>
      </c>
      <c r="H58" s="4">
        <f>DAY(G58)</f>
        <v>7</v>
      </c>
      <c r="I58" s="4">
        <f>MONTH(G58)</f>
        <v>5</v>
      </c>
      <c r="J58" s="4">
        <f>YEAR(G58)</f>
        <v>1974</v>
      </c>
      <c r="K58" s="6">
        <v>7405071100311</v>
      </c>
      <c r="L58" s="5">
        <v>43709</v>
      </c>
      <c r="M58" s="5">
        <v>45474</v>
      </c>
      <c r="N58" s="5">
        <v>45838</v>
      </c>
      <c r="O58" s="4">
        <v>2688</v>
      </c>
      <c r="P58" s="4">
        <v>1</v>
      </c>
      <c r="Q58" s="4" t="s">
        <v>33</v>
      </c>
      <c r="R58" s="4" t="s">
        <v>34</v>
      </c>
      <c r="S58" s="4">
        <v>660564</v>
      </c>
      <c r="T58" s="4">
        <v>9110000042768</v>
      </c>
      <c r="U58" s="4">
        <v>0</v>
      </c>
      <c r="V58" s="4">
        <v>0</v>
      </c>
      <c r="W58" s="4">
        <v>0</v>
      </c>
      <c r="X58" s="4">
        <v>0</v>
      </c>
      <c r="Y58" s="4">
        <v>2688</v>
      </c>
      <c r="Z58" s="4">
        <v>2688</v>
      </c>
      <c r="AA58" s="4" t="s">
        <v>35</v>
      </c>
      <c r="AB58" s="4" t="s">
        <v>36</v>
      </c>
    </row>
    <row r="59" spans="1:29" x14ac:dyDescent="0.3">
      <c r="A59" s="4" t="s">
        <v>29</v>
      </c>
      <c r="B59" s="4">
        <v>3711981</v>
      </c>
      <c r="C59" s="4">
        <v>3711981</v>
      </c>
      <c r="D59" s="4" t="s">
        <v>155</v>
      </c>
      <c r="E59" s="4" t="s">
        <v>56</v>
      </c>
      <c r="F59" s="4" t="s">
        <v>82</v>
      </c>
      <c r="G59" s="5">
        <v>27169</v>
      </c>
      <c r="H59" s="4">
        <f>DAY(G59)</f>
        <v>20</v>
      </c>
      <c r="I59" s="4">
        <f>MONTH(G59)</f>
        <v>5</v>
      </c>
      <c r="J59" s="4">
        <f>YEAR(G59)</f>
        <v>1974</v>
      </c>
      <c r="K59" s="6">
        <v>7405206100194</v>
      </c>
      <c r="L59" s="5">
        <v>43617</v>
      </c>
      <c r="M59" s="5">
        <v>45474</v>
      </c>
      <c r="N59" s="5">
        <v>45838</v>
      </c>
      <c r="O59" s="4">
        <v>1658.82</v>
      </c>
      <c r="P59" s="4">
        <v>1</v>
      </c>
      <c r="Q59" s="4" t="s">
        <v>33</v>
      </c>
      <c r="R59" s="4" t="s">
        <v>34</v>
      </c>
      <c r="S59" s="4">
        <v>770001</v>
      </c>
      <c r="T59" s="4">
        <v>77060968700</v>
      </c>
      <c r="U59" s="4">
        <v>0</v>
      </c>
      <c r="V59" s="4">
        <v>0</v>
      </c>
      <c r="W59" s="4">
        <v>0</v>
      </c>
      <c r="X59" s="4">
        <v>0</v>
      </c>
      <c r="Y59" s="4">
        <v>1658.82</v>
      </c>
      <c r="Z59" s="4">
        <v>1658.82</v>
      </c>
      <c r="AA59" s="4" t="s">
        <v>35</v>
      </c>
    </row>
    <row r="60" spans="1:29" x14ac:dyDescent="0.3">
      <c r="A60" s="4" t="s">
        <v>29</v>
      </c>
      <c r="B60" s="4">
        <v>3712511</v>
      </c>
      <c r="C60" s="4">
        <v>3712511</v>
      </c>
      <c r="D60" s="4" t="s">
        <v>156</v>
      </c>
      <c r="E60" s="4" t="s">
        <v>157</v>
      </c>
      <c r="F60" s="4" t="s">
        <v>158</v>
      </c>
      <c r="G60" s="5">
        <v>26794</v>
      </c>
      <c r="H60" s="4">
        <f>DAY(G60)</f>
        <v>10</v>
      </c>
      <c r="I60" s="4">
        <f>MONTH(G60)</f>
        <v>5</v>
      </c>
      <c r="J60" s="4">
        <f>YEAR(G60)</f>
        <v>1973</v>
      </c>
      <c r="K60" s="6">
        <v>7305101100218</v>
      </c>
      <c r="L60" s="5">
        <v>45413</v>
      </c>
      <c r="M60" s="5">
        <v>45413</v>
      </c>
      <c r="N60" s="5">
        <v>45838</v>
      </c>
      <c r="O60" s="4">
        <v>10911.32</v>
      </c>
      <c r="P60" s="4">
        <v>1</v>
      </c>
      <c r="Q60" s="4" t="s">
        <v>33</v>
      </c>
      <c r="R60" s="4" t="s">
        <v>34</v>
      </c>
      <c r="S60" s="4">
        <v>660964</v>
      </c>
      <c r="T60" s="4">
        <v>9110002635863</v>
      </c>
      <c r="U60" s="4">
        <v>0</v>
      </c>
      <c r="V60" s="4">
        <v>0</v>
      </c>
      <c r="W60" s="4">
        <v>0</v>
      </c>
      <c r="X60" s="4">
        <v>1627.83</v>
      </c>
      <c r="Y60" s="4">
        <v>10911.32</v>
      </c>
      <c r="Z60" s="4">
        <v>9283.49</v>
      </c>
      <c r="AA60" s="4" t="s">
        <v>35</v>
      </c>
    </row>
    <row r="61" spans="1:29" x14ac:dyDescent="0.3">
      <c r="A61" s="4" t="s">
        <v>29</v>
      </c>
      <c r="B61" s="4">
        <v>3768512</v>
      </c>
      <c r="C61" s="4">
        <v>3768512</v>
      </c>
      <c r="D61" s="4" t="s">
        <v>37</v>
      </c>
      <c r="E61" s="4" t="s">
        <v>159</v>
      </c>
      <c r="F61" s="4" t="s">
        <v>160</v>
      </c>
      <c r="G61" s="5">
        <v>28248</v>
      </c>
      <c r="H61" s="4">
        <f>DAY(G61)</f>
        <v>3</v>
      </c>
      <c r="I61" s="4">
        <f>MONTH(G61)</f>
        <v>5</v>
      </c>
      <c r="J61" s="4">
        <f>YEAR(G61)</f>
        <v>1977</v>
      </c>
      <c r="K61" s="6">
        <v>7705031100024</v>
      </c>
      <c r="L61" s="5">
        <v>40544</v>
      </c>
      <c r="M61" s="5">
        <v>45474</v>
      </c>
      <c r="N61" s="5">
        <v>45838</v>
      </c>
      <c r="O61" s="4">
        <v>2538.7800000000002</v>
      </c>
      <c r="P61" s="4">
        <v>1</v>
      </c>
      <c r="Q61" s="4" t="s">
        <v>33</v>
      </c>
      <c r="R61" s="4" t="s">
        <v>34</v>
      </c>
      <c r="S61" s="4">
        <v>90001</v>
      </c>
      <c r="T61" s="4">
        <v>51000044117</v>
      </c>
      <c r="U61" s="4">
        <v>0</v>
      </c>
      <c r="V61" s="4">
        <v>0</v>
      </c>
      <c r="W61" s="4">
        <v>0</v>
      </c>
      <c r="X61" s="4">
        <v>0</v>
      </c>
      <c r="Y61" s="4">
        <v>2538.7800000000002</v>
      </c>
      <c r="Z61" s="4">
        <v>2538.7800000000002</v>
      </c>
      <c r="AA61" s="4" t="s">
        <v>35</v>
      </c>
    </row>
    <row r="62" spans="1:29" x14ac:dyDescent="0.3">
      <c r="A62" s="4" t="s">
        <v>29</v>
      </c>
      <c r="B62" s="4">
        <v>3768639</v>
      </c>
      <c r="C62" s="4">
        <v>3768639</v>
      </c>
      <c r="D62" s="4" t="s">
        <v>91</v>
      </c>
      <c r="E62" s="4" t="s">
        <v>51</v>
      </c>
      <c r="F62" s="4" t="s">
        <v>161</v>
      </c>
      <c r="G62" s="5">
        <v>29005</v>
      </c>
      <c r="H62" s="4">
        <f>DAY(G62)</f>
        <v>30</v>
      </c>
      <c r="I62" s="4">
        <f>MONTH(G62)</f>
        <v>5</v>
      </c>
      <c r="J62" s="4">
        <f>YEAR(G62)</f>
        <v>1979</v>
      </c>
      <c r="K62" s="6">
        <v>7905301100361</v>
      </c>
      <c r="L62" s="5">
        <v>45444</v>
      </c>
      <c r="M62" s="5">
        <v>45474</v>
      </c>
      <c r="N62" s="5">
        <v>45838</v>
      </c>
      <c r="O62" s="4">
        <v>1500</v>
      </c>
      <c r="P62" s="4">
        <v>1</v>
      </c>
      <c r="Q62" s="4" t="s">
        <v>33</v>
      </c>
      <c r="R62" s="4" t="s">
        <v>34</v>
      </c>
      <c r="S62" s="4">
        <v>281064</v>
      </c>
      <c r="T62" s="4">
        <v>62453928164</v>
      </c>
      <c r="U62" s="4">
        <v>0</v>
      </c>
      <c r="V62" s="4">
        <v>0</v>
      </c>
      <c r="W62" s="4">
        <v>0</v>
      </c>
      <c r="X62" s="4">
        <v>0</v>
      </c>
      <c r="Y62" s="4">
        <v>1500</v>
      </c>
      <c r="Z62" s="4">
        <v>1500</v>
      </c>
      <c r="AA62" s="4" t="s">
        <v>35</v>
      </c>
      <c r="AB62" s="4" t="s">
        <v>36</v>
      </c>
    </row>
    <row r="63" spans="1:29" x14ac:dyDescent="0.3">
      <c r="A63" s="4" t="s">
        <v>29</v>
      </c>
      <c r="B63" s="4">
        <v>3782617</v>
      </c>
      <c r="C63" s="4">
        <v>3782617</v>
      </c>
      <c r="D63" s="4" t="s">
        <v>101</v>
      </c>
      <c r="E63" s="4" t="s">
        <v>68</v>
      </c>
      <c r="F63" s="4" t="s">
        <v>162</v>
      </c>
      <c r="G63" s="5">
        <v>28262</v>
      </c>
      <c r="H63" s="4">
        <f>DAY(G63)</f>
        <v>17</v>
      </c>
      <c r="I63" s="4">
        <f>MONTH(G63)</f>
        <v>5</v>
      </c>
      <c r="J63" s="4">
        <f>YEAR(G63)</f>
        <v>1977</v>
      </c>
      <c r="K63" s="6">
        <v>7705171100024</v>
      </c>
      <c r="L63" s="5">
        <v>45352</v>
      </c>
      <c r="M63" s="5">
        <v>45474</v>
      </c>
      <c r="N63" s="5">
        <v>45838</v>
      </c>
      <c r="O63" s="4">
        <v>2440.56</v>
      </c>
      <c r="P63" s="4">
        <v>1</v>
      </c>
      <c r="Q63" s="4" t="s">
        <v>33</v>
      </c>
      <c r="R63" s="4" t="s">
        <v>34</v>
      </c>
      <c r="S63" s="4">
        <v>283164</v>
      </c>
      <c r="T63" s="4">
        <v>62399005307</v>
      </c>
      <c r="U63" s="4">
        <v>0</v>
      </c>
      <c r="V63" s="4">
        <v>0</v>
      </c>
      <c r="W63" s="4">
        <v>0</v>
      </c>
      <c r="X63" s="4">
        <v>0</v>
      </c>
      <c r="Y63" s="4">
        <v>2440.56</v>
      </c>
      <c r="Z63" s="4">
        <v>2440.56</v>
      </c>
      <c r="AA63" s="4" t="s">
        <v>35</v>
      </c>
    </row>
    <row r="64" spans="1:29" x14ac:dyDescent="0.3">
      <c r="A64" s="4" t="s">
        <v>29</v>
      </c>
      <c r="B64" s="4">
        <v>3817221</v>
      </c>
      <c r="C64" s="4">
        <v>3817221</v>
      </c>
      <c r="D64" s="4" t="s">
        <v>163</v>
      </c>
      <c r="E64" s="4" t="s">
        <v>56</v>
      </c>
      <c r="F64" s="4" t="s">
        <v>164</v>
      </c>
      <c r="G64" s="5">
        <v>28980</v>
      </c>
      <c r="H64" s="4">
        <f>DAY(G64)</f>
        <v>5</v>
      </c>
      <c r="I64" s="4">
        <f>MONTH(G64)</f>
        <v>5</v>
      </c>
      <c r="J64" s="4">
        <f>YEAR(G64)</f>
        <v>1979</v>
      </c>
      <c r="K64" s="6">
        <v>7905056100657</v>
      </c>
      <c r="L64" s="5">
        <v>45047</v>
      </c>
      <c r="M64" s="5">
        <v>45474</v>
      </c>
      <c r="N64" s="5">
        <v>45838</v>
      </c>
      <c r="O64" s="4">
        <v>4921.28</v>
      </c>
      <c r="P64" s="4">
        <v>1</v>
      </c>
      <c r="Q64" s="4" t="s">
        <v>33</v>
      </c>
      <c r="R64" s="4" t="s">
        <v>34</v>
      </c>
      <c r="S64" s="4">
        <v>770001</v>
      </c>
      <c r="T64" s="4">
        <v>77400162808</v>
      </c>
      <c r="U64" s="4">
        <v>0</v>
      </c>
      <c r="V64" s="4">
        <v>0</v>
      </c>
      <c r="W64" s="4">
        <v>0</v>
      </c>
      <c r="X64" s="4">
        <v>300.92</v>
      </c>
      <c r="Y64" s="4">
        <v>4921.28</v>
      </c>
      <c r="Z64" s="4">
        <v>4620.3599999999997</v>
      </c>
      <c r="AA64" s="4" t="s">
        <v>35</v>
      </c>
    </row>
    <row r="65" spans="1:29" x14ac:dyDescent="0.3">
      <c r="A65" s="4" t="s">
        <v>29</v>
      </c>
      <c r="B65" s="4">
        <v>3828953</v>
      </c>
      <c r="C65" s="4">
        <v>3828953</v>
      </c>
      <c r="D65" s="4" t="s">
        <v>165</v>
      </c>
      <c r="E65" s="4" t="s">
        <v>166</v>
      </c>
      <c r="F65" s="4" t="s">
        <v>167</v>
      </c>
      <c r="G65" s="5">
        <v>27902</v>
      </c>
      <c r="H65" s="4">
        <f>DAY(G65)</f>
        <v>22</v>
      </c>
      <c r="I65" s="4">
        <f>MONTH(G65)</f>
        <v>5</v>
      </c>
      <c r="J65" s="4">
        <f>YEAR(G65)</f>
        <v>1976</v>
      </c>
      <c r="K65" s="6">
        <v>7605221100034</v>
      </c>
      <c r="L65" s="5">
        <v>45689</v>
      </c>
      <c r="M65" s="5">
        <v>45689</v>
      </c>
      <c r="N65" s="5">
        <v>45838</v>
      </c>
      <c r="O65" s="4">
        <v>5283.14</v>
      </c>
      <c r="P65" s="4">
        <v>1</v>
      </c>
      <c r="Q65" s="4" t="s">
        <v>33</v>
      </c>
      <c r="R65" s="4" t="s">
        <v>34</v>
      </c>
      <c r="S65" s="4">
        <v>663164</v>
      </c>
      <c r="T65" s="4">
        <v>9110003543814</v>
      </c>
      <c r="U65" s="4">
        <v>0</v>
      </c>
      <c r="V65" s="4">
        <v>0</v>
      </c>
      <c r="W65" s="4">
        <v>0</v>
      </c>
      <c r="X65" s="4">
        <v>373.29</v>
      </c>
      <c r="Y65" s="4">
        <v>5283.14</v>
      </c>
      <c r="Z65" s="4">
        <v>4909.8500000000004</v>
      </c>
      <c r="AA65" s="4" t="s">
        <v>35</v>
      </c>
    </row>
    <row r="66" spans="1:29" x14ac:dyDescent="0.3">
      <c r="A66" s="4" t="s">
        <v>29</v>
      </c>
      <c r="B66" s="4">
        <v>3862874</v>
      </c>
      <c r="C66" s="4">
        <v>3862874</v>
      </c>
      <c r="D66" s="4" t="s">
        <v>168</v>
      </c>
      <c r="E66" s="4" t="s">
        <v>169</v>
      </c>
      <c r="F66" s="4" t="s">
        <v>170</v>
      </c>
      <c r="G66" s="5">
        <v>28984</v>
      </c>
      <c r="H66" s="4">
        <f>DAY(G66)</f>
        <v>9</v>
      </c>
      <c r="I66" s="4">
        <f>MONTH(G66)</f>
        <v>5</v>
      </c>
      <c r="J66" s="4">
        <f>YEAR(G66)</f>
        <v>1979</v>
      </c>
      <c r="K66" s="6">
        <v>7909051100167</v>
      </c>
      <c r="L66" s="5">
        <v>45444</v>
      </c>
      <c r="M66" s="5">
        <v>45444</v>
      </c>
      <c r="N66" s="5">
        <v>45838</v>
      </c>
      <c r="O66" s="4">
        <v>1926.81</v>
      </c>
      <c r="P66" s="4">
        <v>1</v>
      </c>
      <c r="Q66" s="4" t="s">
        <v>33</v>
      </c>
      <c r="R66" s="4" t="s">
        <v>34</v>
      </c>
      <c r="S66" s="4">
        <v>360164</v>
      </c>
      <c r="T66" s="4">
        <v>20000360776</v>
      </c>
      <c r="U66" s="4">
        <v>0</v>
      </c>
      <c r="V66" s="4">
        <v>0</v>
      </c>
      <c r="W66" s="4">
        <v>0</v>
      </c>
      <c r="X66" s="4">
        <v>0</v>
      </c>
      <c r="Y66" s="4">
        <v>1926.81</v>
      </c>
      <c r="Z66" s="4">
        <v>1926.81</v>
      </c>
      <c r="AA66" s="4" t="s">
        <v>35</v>
      </c>
    </row>
    <row r="67" spans="1:29" x14ac:dyDescent="0.3">
      <c r="A67" s="4" t="s">
        <v>29</v>
      </c>
      <c r="B67" s="4">
        <v>3866445</v>
      </c>
      <c r="C67" s="4">
        <v>3866445</v>
      </c>
      <c r="D67" s="4" t="s">
        <v>88</v>
      </c>
      <c r="E67" s="4" t="s">
        <v>68</v>
      </c>
      <c r="F67" s="4" t="s">
        <v>171</v>
      </c>
      <c r="G67" s="5">
        <v>28260</v>
      </c>
      <c r="H67" s="4">
        <f>DAY(G67)</f>
        <v>15</v>
      </c>
      <c r="I67" s="4">
        <f>MONTH(G67)</f>
        <v>5</v>
      </c>
      <c r="J67" s="4">
        <f>YEAR(G67)</f>
        <v>1977</v>
      </c>
      <c r="K67" s="6">
        <v>7705151100150</v>
      </c>
      <c r="L67" s="5">
        <v>45658</v>
      </c>
      <c r="M67" s="5">
        <v>45658</v>
      </c>
      <c r="N67" s="5">
        <v>45838</v>
      </c>
      <c r="O67" s="4">
        <v>2041.45</v>
      </c>
      <c r="P67" s="4">
        <v>1</v>
      </c>
      <c r="Q67" s="4" t="s">
        <v>33</v>
      </c>
      <c r="R67" s="4" t="s">
        <v>34</v>
      </c>
      <c r="S67" s="4">
        <v>663164</v>
      </c>
      <c r="T67" s="4">
        <v>9110004103699</v>
      </c>
      <c r="U67" s="4">
        <v>0</v>
      </c>
      <c r="V67" s="4">
        <v>0</v>
      </c>
      <c r="W67" s="4">
        <v>0</v>
      </c>
      <c r="X67" s="4">
        <v>0</v>
      </c>
      <c r="Y67" s="4">
        <v>2041.45</v>
      </c>
      <c r="Z67" s="4">
        <v>2041.45</v>
      </c>
      <c r="AA67" s="4" t="s">
        <v>35</v>
      </c>
    </row>
    <row r="68" spans="1:29" x14ac:dyDescent="0.3">
      <c r="A68" s="4" t="s">
        <v>29</v>
      </c>
      <c r="B68" s="4">
        <v>3962431</v>
      </c>
      <c r="C68" s="4">
        <v>3962431</v>
      </c>
      <c r="D68" s="4" t="s">
        <v>172</v>
      </c>
      <c r="E68" s="4" t="s">
        <v>173</v>
      </c>
      <c r="F68" s="4" t="s">
        <v>174</v>
      </c>
      <c r="G68" s="5">
        <v>28250</v>
      </c>
      <c r="H68" s="4">
        <f>DAY(G68)</f>
        <v>5</v>
      </c>
      <c r="I68" s="4">
        <f>MONTH(G68)</f>
        <v>5</v>
      </c>
      <c r="J68" s="4">
        <f>YEAR(G68)</f>
        <v>1977</v>
      </c>
      <c r="K68" s="6">
        <v>7705051100540</v>
      </c>
      <c r="L68" s="5">
        <v>45566</v>
      </c>
      <c r="M68" s="5">
        <v>45566</v>
      </c>
      <c r="N68" s="5">
        <v>45838</v>
      </c>
      <c r="O68" s="4">
        <v>2786.66</v>
      </c>
      <c r="P68" s="4">
        <v>1</v>
      </c>
      <c r="Q68" s="4" t="s">
        <v>33</v>
      </c>
      <c r="R68" s="4" t="s">
        <v>34</v>
      </c>
      <c r="S68" s="4">
        <v>360164</v>
      </c>
      <c r="T68" s="4">
        <v>12991637050</v>
      </c>
      <c r="U68" s="4">
        <v>0</v>
      </c>
      <c r="V68" s="4">
        <v>0</v>
      </c>
      <c r="W68" s="4">
        <v>0</v>
      </c>
      <c r="X68" s="4">
        <v>0</v>
      </c>
      <c r="Y68" s="4">
        <v>2786.66</v>
      </c>
      <c r="Z68" s="4">
        <v>2786.66</v>
      </c>
      <c r="AA68" s="4" t="s">
        <v>35</v>
      </c>
    </row>
    <row r="69" spans="1:29" x14ac:dyDescent="0.3">
      <c r="A69" s="4" t="s">
        <v>29</v>
      </c>
      <c r="B69" s="4">
        <v>39846527</v>
      </c>
      <c r="C69" s="4">
        <v>39846527</v>
      </c>
      <c r="D69" s="4" t="s">
        <v>175</v>
      </c>
      <c r="E69" s="4" t="s">
        <v>56</v>
      </c>
      <c r="F69" s="4" t="s">
        <v>176</v>
      </c>
      <c r="G69" s="5">
        <v>29346</v>
      </c>
      <c r="H69" s="4">
        <f>DAY(G69)</f>
        <v>5</v>
      </c>
      <c r="I69" s="4">
        <f>MONTH(G69)</f>
        <v>5</v>
      </c>
      <c r="J69" s="4">
        <f>YEAR(G69)</f>
        <v>1980</v>
      </c>
      <c r="K69" s="6">
        <v>8005051100155</v>
      </c>
      <c r="L69" s="5">
        <v>45809</v>
      </c>
      <c r="M69" s="5">
        <v>45809</v>
      </c>
      <c r="N69" s="5">
        <v>45838</v>
      </c>
      <c r="O69" s="4">
        <v>1903.37</v>
      </c>
      <c r="P69" s="4">
        <v>1</v>
      </c>
      <c r="Q69" s="4" t="s">
        <v>33</v>
      </c>
      <c r="R69" s="4" t="s">
        <v>34</v>
      </c>
      <c r="S69" s="4">
        <v>280164</v>
      </c>
      <c r="T69" s="4">
        <v>62904857515</v>
      </c>
      <c r="U69" s="4">
        <v>0</v>
      </c>
      <c r="V69" s="4">
        <v>0</v>
      </c>
      <c r="W69" s="4">
        <v>0</v>
      </c>
      <c r="X69" s="4">
        <v>0</v>
      </c>
      <c r="Y69" s="4">
        <v>1903.37</v>
      </c>
      <c r="Z69" s="4">
        <v>1903.37</v>
      </c>
      <c r="AA69" s="4" t="s">
        <v>35</v>
      </c>
    </row>
    <row r="70" spans="1:29" x14ac:dyDescent="0.3">
      <c r="A70" s="4" t="s">
        <v>29</v>
      </c>
      <c r="B70" s="4">
        <v>39968971</v>
      </c>
      <c r="C70" s="4">
        <v>39968971</v>
      </c>
      <c r="D70" s="4" t="s">
        <v>172</v>
      </c>
      <c r="E70" s="4" t="s">
        <v>54</v>
      </c>
      <c r="F70" s="4" t="s">
        <v>177</v>
      </c>
      <c r="G70" s="5">
        <v>28632</v>
      </c>
      <c r="H70" s="4">
        <f>DAY(G70)</f>
        <v>22</v>
      </c>
      <c r="I70" s="4">
        <f>MONTH(G70)</f>
        <v>5</v>
      </c>
      <c r="J70" s="4">
        <f>YEAR(G70)</f>
        <v>1978</v>
      </c>
      <c r="K70" s="6">
        <v>7805221100246</v>
      </c>
      <c r="L70" s="5">
        <v>45200</v>
      </c>
      <c r="M70" s="5">
        <v>45474</v>
      </c>
      <c r="N70" s="5">
        <v>45838</v>
      </c>
      <c r="O70" s="4">
        <v>1500</v>
      </c>
      <c r="P70" s="4">
        <v>1</v>
      </c>
      <c r="Q70" s="4" t="s">
        <v>33</v>
      </c>
      <c r="R70" s="4" t="s">
        <v>34</v>
      </c>
      <c r="S70" s="4">
        <v>661164</v>
      </c>
      <c r="T70" s="4">
        <v>9110000009809</v>
      </c>
      <c r="U70" s="4">
        <v>0</v>
      </c>
      <c r="V70" s="4">
        <v>0</v>
      </c>
      <c r="W70" s="4">
        <v>0</v>
      </c>
      <c r="X70" s="4">
        <v>0</v>
      </c>
      <c r="Y70" s="4">
        <v>1500</v>
      </c>
      <c r="Z70" s="4">
        <v>1500</v>
      </c>
      <c r="AA70" s="4" t="s">
        <v>35</v>
      </c>
      <c r="AB70" s="4" t="s">
        <v>36</v>
      </c>
    </row>
    <row r="71" spans="1:29" x14ac:dyDescent="0.3">
      <c r="A71" s="4" t="s">
        <v>29</v>
      </c>
      <c r="B71" s="4">
        <v>4072478</v>
      </c>
      <c r="C71" s="4">
        <v>4072478</v>
      </c>
      <c r="D71" s="4" t="s">
        <v>37</v>
      </c>
      <c r="E71" s="4" t="s">
        <v>38</v>
      </c>
      <c r="F71" s="4" t="s">
        <v>52</v>
      </c>
      <c r="G71" s="5">
        <v>20952</v>
      </c>
      <c r="H71" s="4">
        <f>DAY(G71)</f>
        <v>12</v>
      </c>
      <c r="I71" s="4">
        <f>MONTH(G71)</f>
        <v>5</v>
      </c>
      <c r="J71" s="4">
        <f>YEAR(G71)</f>
        <v>1957</v>
      </c>
      <c r="K71" s="6">
        <v>5709266100065</v>
      </c>
      <c r="L71" s="5">
        <v>42887</v>
      </c>
      <c r="M71" s="5">
        <v>45474</v>
      </c>
      <c r="N71" s="5">
        <v>45838</v>
      </c>
      <c r="O71" s="4">
        <v>2530.5100000000002</v>
      </c>
      <c r="P71" s="4">
        <v>1</v>
      </c>
      <c r="Q71" s="4" t="s">
        <v>33</v>
      </c>
      <c r="R71" s="4" t="s">
        <v>34</v>
      </c>
      <c r="S71" s="4">
        <v>770002</v>
      </c>
      <c r="T71" s="4">
        <v>77011254815</v>
      </c>
      <c r="U71" s="4">
        <v>0</v>
      </c>
      <c r="V71" s="4">
        <v>0</v>
      </c>
      <c r="W71" s="4">
        <v>0</v>
      </c>
      <c r="X71" s="4">
        <v>0</v>
      </c>
      <c r="Y71" s="4">
        <v>2530.5100000000002</v>
      </c>
      <c r="Z71" s="4">
        <v>2530.5100000000002</v>
      </c>
      <c r="AA71" s="4" t="s">
        <v>35</v>
      </c>
    </row>
    <row r="72" spans="1:29" x14ac:dyDescent="0.3">
      <c r="A72" s="4" t="s">
        <v>29</v>
      </c>
      <c r="B72" s="4">
        <v>4084170</v>
      </c>
      <c r="C72" s="4">
        <v>4084170</v>
      </c>
      <c r="D72" s="4" t="s">
        <v>109</v>
      </c>
      <c r="E72" s="4" t="s">
        <v>86</v>
      </c>
      <c r="F72" s="4" t="s">
        <v>178</v>
      </c>
      <c r="G72" s="5">
        <v>17305</v>
      </c>
      <c r="H72" s="4">
        <f>DAY(G72)</f>
        <v>18</v>
      </c>
      <c r="I72" s="4">
        <f>MONTH(G72)</f>
        <v>5</v>
      </c>
      <c r="J72" s="4">
        <f>YEAR(G72)</f>
        <v>1947</v>
      </c>
      <c r="K72" s="6">
        <v>4705186100038</v>
      </c>
      <c r="L72" s="5">
        <v>39264</v>
      </c>
      <c r="M72" s="5">
        <v>45474</v>
      </c>
      <c r="N72" s="5">
        <v>45838</v>
      </c>
      <c r="O72" s="4">
        <v>26802.57</v>
      </c>
      <c r="P72" s="4">
        <v>1</v>
      </c>
      <c r="Q72" s="4" t="s">
        <v>33</v>
      </c>
      <c r="R72" s="4" t="s">
        <v>34</v>
      </c>
      <c r="S72" s="4">
        <v>360164</v>
      </c>
      <c r="T72" s="7" t="s">
        <v>179</v>
      </c>
      <c r="U72" s="4">
        <v>1000</v>
      </c>
      <c r="V72" s="4">
        <v>0</v>
      </c>
      <c r="W72" s="4">
        <v>0</v>
      </c>
      <c r="X72" s="4">
        <v>6394.84</v>
      </c>
      <c r="Y72" s="4">
        <v>26802.57</v>
      </c>
      <c r="Z72" s="4">
        <v>19407.73</v>
      </c>
      <c r="AA72" s="4" t="s">
        <v>35</v>
      </c>
    </row>
    <row r="73" spans="1:29" x14ac:dyDescent="0.3">
      <c r="A73" s="4" t="s">
        <v>29</v>
      </c>
      <c r="B73" s="4">
        <v>4087788</v>
      </c>
      <c r="C73" s="4">
        <v>4087788</v>
      </c>
      <c r="D73" s="4" t="s">
        <v>37</v>
      </c>
      <c r="E73" s="4" t="s">
        <v>86</v>
      </c>
      <c r="F73" s="4" t="s">
        <v>180</v>
      </c>
      <c r="G73" s="5">
        <v>17302</v>
      </c>
      <c r="H73" s="4">
        <f>DAY(G73)</f>
        <v>15</v>
      </c>
      <c r="I73" s="4">
        <f>MONTH(G73)</f>
        <v>5</v>
      </c>
      <c r="J73" s="4">
        <f>YEAR(G73)</f>
        <v>1947</v>
      </c>
      <c r="K73" s="6">
        <v>4709156100044</v>
      </c>
      <c r="L73" s="5">
        <v>39539</v>
      </c>
      <c r="M73" s="5">
        <v>45474</v>
      </c>
      <c r="N73" s="5">
        <v>45838</v>
      </c>
      <c r="O73" s="4">
        <v>3933.67</v>
      </c>
      <c r="P73" s="4">
        <v>1</v>
      </c>
      <c r="Q73" s="4" t="s">
        <v>33</v>
      </c>
      <c r="R73" s="4" t="s">
        <v>34</v>
      </c>
      <c r="S73" s="4">
        <v>90001</v>
      </c>
      <c r="T73" s="4">
        <v>51000398776</v>
      </c>
      <c r="U73" s="4">
        <v>1000</v>
      </c>
      <c r="V73" s="4">
        <v>0</v>
      </c>
      <c r="W73" s="4">
        <v>0</v>
      </c>
      <c r="X73" s="4">
        <v>0</v>
      </c>
      <c r="Y73" s="4">
        <v>3933.67</v>
      </c>
      <c r="Z73" s="4">
        <v>2933.67</v>
      </c>
      <c r="AA73" s="4" t="s">
        <v>35</v>
      </c>
    </row>
    <row r="74" spans="1:29" x14ac:dyDescent="0.3">
      <c r="A74" s="4" t="s">
        <v>29</v>
      </c>
      <c r="B74" s="4">
        <v>4112907</v>
      </c>
      <c r="C74" s="4">
        <v>4112907</v>
      </c>
      <c r="D74" s="4" t="s">
        <v>181</v>
      </c>
      <c r="E74" s="4" t="s">
        <v>38</v>
      </c>
      <c r="F74" s="4" t="s">
        <v>182</v>
      </c>
      <c r="G74" s="5">
        <v>19869</v>
      </c>
      <c r="H74" s="4">
        <f>DAY(G74)</f>
        <v>25</v>
      </c>
      <c r="I74" s="4">
        <f>MONTH(G74)</f>
        <v>5</v>
      </c>
      <c r="J74" s="4">
        <f>YEAR(G74)</f>
        <v>1954</v>
      </c>
      <c r="K74" s="6">
        <v>5405256100054</v>
      </c>
      <c r="L74" s="5">
        <v>40940</v>
      </c>
      <c r="M74" s="5">
        <v>45474</v>
      </c>
      <c r="N74" s="5">
        <v>45838</v>
      </c>
      <c r="O74" s="4">
        <v>4352.68</v>
      </c>
      <c r="P74" s="4">
        <v>1</v>
      </c>
      <c r="Q74" s="4" t="s">
        <v>33</v>
      </c>
      <c r="R74" s="4" t="s">
        <v>34</v>
      </c>
      <c r="S74" s="4">
        <v>90001</v>
      </c>
      <c r="T74" s="4">
        <v>51000231774</v>
      </c>
      <c r="U74" s="4">
        <v>20</v>
      </c>
      <c r="V74" s="4">
        <v>0</v>
      </c>
      <c r="W74" s="4">
        <v>0</v>
      </c>
      <c r="X74" s="4">
        <v>0</v>
      </c>
      <c r="Y74" s="4">
        <v>4352.68</v>
      </c>
      <c r="Z74" s="4">
        <v>4332.68</v>
      </c>
      <c r="AA74" s="4" t="s">
        <v>35</v>
      </c>
    </row>
    <row r="75" spans="1:29" x14ac:dyDescent="0.3">
      <c r="A75" s="4" t="s">
        <v>29</v>
      </c>
      <c r="B75" s="4">
        <v>4125662</v>
      </c>
      <c r="C75" s="4">
        <v>4125662</v>
      </c>
      <c r="D75" s="4" t="s">
        <v>183</v>
      </c>
      <c r="E75" s="4" t="s">
        <v>41</v>
      </c>
      <c r="F75" s="4" t="s">
        <v>184</v>
      </c>
      <c r="G75" s="5">
        <v>19128</v>
      </c>
      <c r="H75" s="4">
        <f>DAY(G75)</f>
        <v>14</v>
      </c>
      <c r="I75" s="4">
        <f>MONTH(G75)</f>
        <v>5</v>
      </c>
      <c r="J75" s="4">
        <f>YEAR(G75)</f>
        <v>1952</v>
      </c>
      <c r="K75" s="6">
        <v>5205141100032</v>
      </c>
      <c r="L75" s="5">
        <v>41061</v>
      </c>
      <c r="M75" s="5">
        <v>45474</v>
      </c>
      <c r="N75" s="5">
        <v>45838</v>
      </c>
      <c r="O75" s="4">
        <v>5066.24</v>
      </c>
      <c r="P75" s="4">
        <v>1</v>
      </c>
      <c r="Q75" s="4" t="s">
        <v>33</v>
      </c>
      <c r="R75" s="4" t="s">
        <v>34</v>
      </c>
      <c r="S75" s="4">
        <v>90001</v>
      </c>
      <c r="T75" s="4">
        <v>51000414585</v>
      </c>
      <c r="U75" s="4">
        <v>20</v>
      </c>
      <c r="V75" s="4">
        <v>0</v>
      </c>
      <c r="W75" s="4">
        <v>0</v>
      </c>
      <c r="X75" s="4">
        <v>104.91</v>
      </c>
      <c r="Y75" s="4">
        <v>5066.24</v>
      </c>
      <c r="Z75" s="4">
        <v>4941.33</v>
      </c>
      <c r="AA75" s="4" t="s">
        <v>35</v>
      </c>
    </row>
    <row r="76" spans="1:29" x14ac:dyDescent="0.3">
      <c r="A76" s="4" t="s">
        <v>29</v>
      </c>
      <c r="B76" s="4">
        <v>4127035</v>
      </c>
      <c r="C76" s="4">
        <v>4127035</v>
      </c>
      <c r="D76" s="4" t="s">
        <v>185</v>
      </c>
      <c r="E76" s="4" t="s">
        <v>157</v>
      </c>
      <c r="F76" s="4" t="s">
        <v>186</v>
      </c>
      <c r="G76" s="5">
        <v>18412</v>
      </c>
      <c r="H76" s="4">
        <f>DAY(G76)</f>
        <v>29</v>
      </c>
      <c r="I76" s="4">
        <f>MONTH(G76)</f>
        <v>5</v>
      </c>
      <c r="J76" s="4">
        <f>YEAR(G76)</f>
        <v>1950</v>
      </c>
      <c r="K76" s="6">
        <v>5305291100053</v>
      </c>
      <c r="L76" s="5">
        <v>40330</v>
      </c>
      <c r="M76" s="5">
        <v>45474</v>
      </c>
      <c r="N76" s="5">
        <v>45838</v>
      </c>
      <c r="O76" s="4">
        <v>16963.3</v>
      </c>
      <c r="P76" s="4">
        <v>1</v>
      </c>
      <c r="Q76" s="4" t="s">
        <v>33</v>
      </c>
      <c r="R76" s="4" t="s">
        <v>34</v>
      </c>
      <c r="S76" s="4">
        <v>660964</v>
      </c>
      <c r="T76" s="4">
        <v>9110000796843</v>
      </c>
      <c r="U76" s="4">
        <v>20</v>
      </c>
      <c r="V76" s="4">
        <v>0</v>
      </c>
      <c r="W76" s="4">
        <v>0</v>
      </c>
      <c r="X76" s="4">
        <v>3147.88</v>
      </c>
      <c r="Y76" s="4">
        <v>16963.3</v>
      </c>
      <c r="Z76" s="4">
        <v>13795.42</v>
      </c>
      <c r="AA76" s="4" t="s">
        <v>35</v>
      </c>
      <c r="AB76" s="4" t="s">
        <v>36</v>
      </c>
    </row>
    <row r="77" spans="1:29" x14ac:dyDescent="0.3">
      <c r="A77" s="4" t="s">
        <v>29</v>
      </c>
      <c r="B77" s="4">
        <v>4166298</v>
      </c>
      <c r="C77" s="4">
        <v>4166298</v>
      </c>
      <c r="D77" s="4" t="s">
        <v>187</v>
      </c>
      <c r="E77" s="4" t="s">
        <v>51</v>
      </c>
      <c r="F77" s="4" t="s">
        <v>188</v>
      </c>
      <c r="G77" s="5">
        <v>21311</v>
      </c>
      <c r="H77" s="4">
        <f>DAY(G77)</f>
        <v>6</v>
      </c>
      <c r="I77" s="4">
        <f>MONTH(G77)</f>
        <v>5</v>
      </c>
      <c r="J77" s="4">
        <f>YEAR(G77)</f>
        <v>1958</v>
      </c>
      <c r="K77" s="6">
        <v>5803206100119</v>
      </c>
      <c r="L77" s="5">
        <v>43252</v>
      </c>
      <c r="M77" s="5">
        <v>45474</v>
      </c>
      <c r="N77" s="5">
        <v>45838</v>
      </c>
      <c r="O77" s="4">
        <v>5230.76</v>
      </c>
      <c r="P77" s="4">
        <v>1</v>
      </c>
      <c r="Q77" s="4" t="s">
        <v>33</v>
      </c>
      <c r="R77" s="4" t="s">
        <v>34</v>
      </c>
      <c r="S77" s="4">
        <v>770002</v>
      </c>
      <c r="T77" s="4">
        <v>77013905414</v>
      </c>
      <c r="U77" s="4">
        <v>0</v>
      </c>
      <c r="V77" s="4">
        <v>0</v>
      </c>
      <c r="W77" s="4">
        <v>0</v>
      </c>
      <c r="X77" s="4">
        <v>137.81</v>
      </c>
      <c r="Y77" s="4">
        <v>5230.76</v>
      </c>
      <c r="Z77" s="4">
        <v>5092.95</v>
      </c>
      <c r="AA77" s="4" t="s">
        <v>35</v>
      </c>
    </row>
    <row r="78" spans="1:29" x14ac:dyDescent="0.3">
      <c r="A78" s="4" t="s">
        <v>29</v>
      </c>
      <c r="B78" s="4">
        <v>4180166</v>
      </c>
      <c r="C78" s="4">
        <v>4180166</v>
      </c>
      <c r="D78" s="4" t="s">
        <v>189</v>
      </c>
      <c r="E78" s="4" t="s">
        <v>86</v>
      </c>
      <c r="F78" s="4" t="s">
        <v>190</v>
      </c>
      <c r="G78" s="5">
        <v>19855</v>
      </c>
      <c r="H78" s="4">
        <f>DAY(G78)</f>
        <v>11</v>
      </c>
      <c r="I78" s="4">
        <f>MONTH(G78)</f>
        <v>5</v>
      </c>
      <c r="J78" s="4">
        <f>YEAR(G78)</f>
        <v>1954</v>
      </c>
      <c r="K78" s="6">
        <v>5905111100041</v>
      </c>
      <c r="L78" s="5">
        <v>41791</v>
      </c>
      <c r="M78" s="5">
        <v>45474</v>
      </c>
      <c r="N78" s="5">
        <v>45838</v>
      </c>
      <c r="O78" s="4">
        <v>20526</v>
      </c>
      <c r="P78" s="4">
        <v>1</v>
      </c>
      <c r="Q78" s="4" t="s">
        <v>33</v>
      </c>
      <c r="R78" s="4" t="s">
        <v>34</v>
      </c>
      <c r="S78" s="4">
        <v>770003</v>
      </c>
      <c r="T78" s="4">
        <v>77016784111</v>
      </c>
      <c r="U78" s="4">
        <v>0</v>
      </c>
      <c r="V78" s="4">
        <v>0</v>
      </c>
      <c r="W78" s="4">
        <v>0</v>
      </c>
      <c r="X78" s="4">
        <v>4323.58</v>
      </c>
      <c r="Y78" s="4">
        <v>20526</v>
      </c>
      <c r="Z78" s="4">
        <v>16202.42</v>
      </c>
      <c r="AA78" s="4" t="s">
        <v>35</v>
      </c>
    </row>
    <row r="79" spans="1:29" x14ac:dyDescent="0.3">
      <c r="A79" s="4" t="s">
        <v>29</v>
      </c>
      <c r="B79" s="4">
        <v>4220420</v>
      </c>
      <c r="C79" s="4">
        <v>4220420</v>
      </c>
      <c r="D79" s="4" t="s">
        <v>37</v>
      </c>
      <c r="E79" s="4" t="s">
        <v>63</v>
      </c>
      <c r="F79" s="4" t="s">
        <v>191</v>
      </c>
      <c r="G79" s="5">
        <v>20957</v>
      </c>
      <c r="H79" s="4">
        <f>DAY(G79)</f>
        <v>17</v>
      </c>
      <c r="I79" s="4">
        <f>MONTH(G79)</f>
        <v>5</v>
      </c>
      <c r="J79" s="4">
        <f>YEAR(G79)</f>
        <v>1957</v>
      </c>
      <c r="K79" s="6">
        <v>5705171100067</v>
      </c>
      <c r="L79" s="5">
        <v>42522</v>
      </c>
      <c r="M79" s="5">
        <v>45474</v>
      </c>
      <c r="N79" s="5">
        <v>45838</v>
      </c>
      <c r="O79" s="4">
        <v>4638.47</v>
      </c>
      <c r="P79" s="4">
        <v>1</v>
      </c>
      <c r="Q79" s="4" t="s">
        <v>33</v>
      </c>
      <c r="R79" s="4" t="s">
        <v>34</v>
      </c>
      <c r="S79" s="4">
        <v>660964</v>
      </c>
      <c r="T79" s="4">
        <v>9110004126397</v>
      </c>
      <c r="U79" s="4">
        <v>20</v>
      </c>
      <c r="V79" s="4">
        <v>0</v>
      </c>
      <c r="W79" s="4">
        <v>0</v>
      </c>
      <c r="X79" s="4">
        <v>19.36</v>
      </c>
      <c r="Y79" s="4">
        <v>4638.47</v>
      </c>
      <c r="Z79" s="4">
        <v>4599.1099999999997</v>
      </c>
      <c r="AA79" s="4" t="s">
        <v>35</v>
      </c>
      <c r="AB79" s="4" t="s">
        <v>36</v>
      </c>
      <c r="AC79" s="4" t="s">
        <v>108</v>
      </c>
    </row>
    <row r="80" spans="1:29" x14ac:dyDescent="0.3">
      <c r="A80" s="4" t="s">
        <v>29</v>
      </c>
      <c r="B80" s="4">
        <v>4222893</v>
      </c>
      <c r="C80" s="4">
        <v>4222893</v>
      </c>
      <c r="D80" s="4" t="s">
        <v>192</v>
      </c>
      <c r="E80" s="4" t="s">
        <v>63</v>
      </c>
      <c r="F80" s="4" t="s">
        <v>193</v>
      </c>
      <c r="G80" s="5">
        <v>20581</v>
      </c>
      <c r="H80" s="4">
        <f>DAY(G80)</f>
        <v>6</v>
      </c>
      <c r="I80" s="4">
        <f>MONTH(G80)</f>
        <v>5</v>
      </c>
      <c r="J80" s="4">
        <f>YEAR(G80)</f>
        <v>1956</v>
      </c>
      <c r="K80" s="6">
        <v>5605061100039</v>
      </c>
      <c r="L80" s="5">
        <v>42522</v>
      </c>
      <c r="M80" s="5">
        <v>45474</v>
      </c>
      <c r="N80" s="5">
        <v>45838</v>
      </c>
      <c r="O80" s="4">
        <v>4903.3500000000004</v>
      </c>
      <c r="P80" s="4">
        <v>1</v>
      </c>
      <c r="Q80" s="4" t="s">
        <v>33</v>
      </c>
      <c r="R80" s="4" t="s">
        <v>34</v>
      </c>
      <c r="S80" s="4">
        <v>286064</v>
      </c>
      <c r="T80" s="4">
        <v>63029389582</v>
      </c>
      <c r="U80" s="4">
        <v>0</v>
      </c>
      <c r="V80" s="4">
        <v>0</v>
      </c>
      <c r="W80" s="4">
        <v>0</v>
      </c>
      <c r="X80" s="4">
        <v>72.33</v>
      </c>
      <c r="Y80" s="4">
        <v>4903.3500000000004</v>
      </c>
      <c r="Z80" s="4">
        <v>4831.0200000000004</v>
      </c>
      <c r="AA80" s="4" t="s">
        <v>35</v>
      </c>
      <c r="AC80" s="4" t="s">
        <v>108</v>
      </c>
    </row>
    <row r="81" spans="1:29" x14ac:dyDescent="0.3">
      <c r="A81" s="4" t="s">
        <v>29</v>
      </c>
      <c r="B81" s="4">
        <v>4224321</v>
      </c>
      <c r="C81" s="4">
        <v>4224321</v>
      </c>
      <c r="D81" s="4" t="s">
        <v>194</v>
      </c>
      <c r="E81" s="4" t="s">
        <v>59</v>
      </c>
      <c r="F81" s="4" t="s">
        <v>60</v>
      </c>
      <c r="G81" s="5">
        <v>20583</v>
      </c>
      <c r="H81" s="4">
        <f>DAY(G81)</f>
        <v>8</v>
      </c>
      <c r="I81" s="4">
        <f>MONTH(G81)</f>
        <v>5</v>
      </c>
      <c r="J81" s="4">
        <f>YEAR(G81)</f>
        <v>1956</v>
      </c>
      <c r="K81" s="6">
        <v>5505086100065</v>
      </c>
      <c r="L81" s="5">
        <v>39142</v>
      </c>
      <c r="M81" s="5">
        <v>45474</v>
      </c>
      <c r="N81" s="5">
        <v>45838</v>
      </c>
      <c r="O81" s="4">
        <v>4718.32</v>
      </c>
      <c r="P81" s="4">
        <v>1</v>
      </c>
      <c r="Q81" s="4" t="s">
        <v>33</v>
      </c>
      <c r="R81" s="4" t="s">
        <v>34</v>
      </c>
      <c r="S81" s="4">
        <v>90001</v>
      </c>
      <c r="T81" s="4">
        <v>51000624091</v>
      </c>
      <c r="U81" s="4">
        <v>0</v>
      </c>
      <c r="V81" s="4">
        <v>0</v>
      </c>
      <c r="W81" s="4">
        <v>0</v>
      </c>
      <c r="X81" s="4">
        <v>35.33</v>
      </c>
      <c r="Y81" s="4">
        <v>4718.32</v>
      </c>
      <c r="Z81" s="4">
        <v>4682.99</v>
      </c>
      <c r="AA81" s="4" t="s">
        <v>35</v>
      </c>
    </row>
    <row r="82" spans="1:29" x14ac:dyDescent="0.3">
      <c r="A82" s="4" t="s">
        <v>29</v>
      </c>
      <c r="B82" s="4">
        <v>4244178</v>
      </c>
      <c r="C82" s="4">
        <v>4244178</v>
      </c>
      <c r="D82" s="4" t="s">
        <v>37</v>
      </c>
      <c r="E82" s="4" t="s">
        <v>68</v>
      </c>
      <c r="F82" s="4" t="s">
        <v>195</v>
      </c>
      <c r="G82" s="5">
        <v>20222</v>
      </c>
      <c r="H82" s="4">
        <f>DAY(G82)</f>
        <v>13</v>
      </c>
      <c r="I82" s="4">
        <f>MONTH(G82)</f>
        <v>5</v>
      </c>
      <c r="J82" s="4">
        <f>YEAR(G82)</f>
        <v>1955</v>
      </c>
      <c r="K82" s="6">
        <v>5505131100094</v>
      </c>
      <c r="L82" s="5">
        <v>42156</v>
      </c>
      <c r="M82" s="5">
        <v>45474</v>
      </c>
      <c r="N82" s="5">
        <v>45838</v>
      </c>
      <c r="O82" s="4">
        <v>5066.63</v>
      </c>
      <c r="P82" s="4">
        <v>1</v>
      </c>
      <c r="Q82" s="4" t="s">
        <v>33</v>
      </c>
      <c r="R82" s="4" t="s">
        <v>34</v>
      </c>
      <c r="S82" s="4">
        <v>660564</v>
      </c>
      <c r="T82" s="4">
        <v>9110000109811</v>
      </c>
      <c r="U82" s="4">
        <v>0</v>
      </c>
      <c r="V82" s="4">
        <v>0</v>
      </c>
      <c r="W82" s="4">
        <v>0</v>
      </c>
      <c r="X82" s="4">
        <v>104.99</v>
      </c>
      <c r="Y82" s="4">
        <v>5066.63</v>
      </c>
      <c r="Z82" s="4">
        <v>4961.6400000000003</v>
      </c>
      <c r="AA82" s="4" t="s">
        <v>35</v>
      </c>
      <c r="AC82" s="4" t="s">
        <v>120</v>
      </c>
    </row>
    <row r="83" spans="1:29" x14ac:dyDescent="0.3">
      <c r="A83" s="4" t="s">
        <v>29</v>
      </c>
      <c r="B83" s="4">
        <v>4254995</v>
      </c>
      <c r="C83" s="4">
        <v>4254995</v>
      </c>
      <c r="D83" s="4" t="s">
        <v>196</v>
      </c>
      <c r="E83" s="4" t="s">
        <v>38</v>
      </c>
      <c r="F83" s="4" t="s">
        <v>82</v>
      </c>
      <c r="G83" s="5">
        <v>22040</v>
      </c>
      <c r="H83" s="4">
        <f>DAY(G83)</f>
        <v>4</v>
      </c>
      <c r="I83" s="4">
        <f>MONTH(G83)</f>
        <v>5</v>
      </c>
      <c r="J83" s="4">
        <f>YEAR(G83)</f>
        <v>1960</v>
      </c>
      <c r="K83" s="6">
        <v>6005046100031</v>
      </c>
      <c r="L83" s="5">
        <v>43983</v>
      </c>
      <c r="M83" s="5">
        <v>45474</v>
      </c>
      <c r="N83" s="5">
        <v>45838</v>
      </c>
      <c r="O83" s="4">
        <v>9185.67</v>
      </c>
      <c r="P83" s="4">
        <v>1</v>
      </c>
      <c r="Q83" s="4" t="s">
        <v>33</v>
      </c>
      <c r="R83" s="4" t="s">
        <v>34</v>
      </c>
      <c r="S83" s="4">
        <v>770004</v>
      </c>
      <c r="T83" s="4">
        <v>77400371507</v>
      </c>
      <c r="U83" s="4">
        <v>0</v>
      </c>
      <c r="V83" s="4">
        <v>0</v>
      </c>
      <c r="W83" s="4">
        <v>0</v>
      </c>
      <c r="X83" s="4">
        <v>971.41</v>
      </c>
      <c r="Y83" s="4">
        <v>9185.67</v>
      </c>
      <c r="Z83" s="4">
        <v>8214.26</v>
      </c>
      <c r="AA83" s="4" t="s">
        <v>35</v>
      </c>
    </row>
    <row r="84" spans="1:29" x14ac:dyDescent="0.3">
      <c r="A84" s="4" t="s">
        <v>29</v>
      </c>
      <c r="B84" s="4">
        <v>4256681</v>
      </c>
      <c r="C84" s="4">
        <v>4256681</v>
      </c>
      <c r="D84" s="4" t="s">
        <v>37</v>
      </c>
      <c r="E84" s="4" t="s">
        <v>59</v>
      </c>
      <c r="F84" s="4" t="s">
        <v>197</v>
      </c>
      <c r="G84" s="5">
        <v>22042</v>
      </c>
      <c r="H84" s="4">
        <f>DAY(G84)</f>
        <v>6</v>
      </c>
      <c r="I84" s="4">
        <f>MONTH(G84)</f>
        <v>5</v>
      </c>
      <c r="J84" s="4">
        <f>YEAR(G84)</f>
        <v>1960</v>
      </c>
      <c r="K84" s="6">
        <v>6005066100010</v>
      </c>
      <c r="L84" s="5">
        <v>43983</v>
      </c>
      <c r="M84" s="5">
        <v>45474</v>
      </c>
      <c r="N84" s="5">
        <v>45838</v>
      </c>
      <c r="O84" s="4">
        <v>13106.4</v>
      </c>
      <c r="P84" s="4">
        <v>1</v>
      </c>
      <c r="Q84" s="4" t="s">
        <v>33</v>
      </c>
      <c r="R84" s="4" t="s">
        <v>34</v>
      </c>
      <c r="S84" s="4">
        <v>360164</v>
      </c>
      <c r="T84" s="4">
        <v>12990360985</v>
      </c>
      <c r="U84" s="4">
        <v>0</v>
      </c>
      <c r="V84" s="4">
        <v>0</v>
      </c>
      <c r="W84" s="4">
        <v>0</v>
      </c>
      <c r="X84" s="4">
        <v>1981.92</v>
      </c>
      <c r="Y84" s="4">
        <v>13106.4</v>
      </c>
      <c r="Z84" s="4">
        <v>11124.48</v>
      </c>
      <c r="AA84" s="4" t="s">
        <v>35</v>
      </c>
    </row>
    <row r="85" spans="1:29" x14ac:dyDescent="0.3">
      <c r="A85" s="4" t="s">
        <v>29</v>
      </c>
      <c r="B85" s="4">
        <v>4257376</v>
      </c>
      <c r="C85" s="4">
        <v>4257376</v>
      </c>
      <c r="D85" s="4" t="s">
        <v>198</v>
      </c>
      <c r="E85" s="4" t="s">
        <v>56</v>
      </c>
      <c r="F85" s="4" t="s">
        <v>199</v>
      </c>
      <c r="G85" s="5">
        <v>21333</v>
      </c>
      <c r="H85" s="4">
        <f>DAY(G85)</f>
        <v>28</v>
      </c>
      <c r="I85" s="4">
        <f>MONTH(G85)</f>
        <v>5</v>
      </c>
      <c r="J85" s="4">
        <f>YEAR(G85)</f>
        <v>1958</v>
      </c>
      <c r="K85" s="6">
        <v>5805281100120</v>
      </c>
      <c r="L85" s="5">
        <v>43252</v>
      </c>
      <c r="M85" s="5">
        <v>45474</v>
      </c>
      <c r="N85" s="5">
        <v>45838</v>
      </c>
      <c r="O85" s="4">
        <v>5197.51</v>
      </c>
      <c r="P85" s="4">
        <v>1</v>
      </c>
      <c r="Q85" s="4" t="s">
        <v>33</v>
      </c>
      <c r="R85" s="4" t="s">
        <v>34</v>
      </c>
      <c r="S85" s="4">
        <v>770003</v>
      </c>
      <c r="T85" s="4">
        <v>77016538510</v>
      </c>
      <c r="U85" s="4">
        <v>0</v>
      </c>
      <c r="V85" s="4">
        <v>0</v>
      </c>
      <c r="W85" s="4">
        <v>0</v>
      </c>
      <c r="X85" s="4">
        <v>131.16</v>
      </c>
      <c r="Y85" s="4">
        <v>5197.51</v>
      </c>
      <c r="Z85" s="4">
        <v>5066.3500000000004</v>
      </c>
      <c r="AA85" s="4" t="s">
        <v>35</v>
      </c>
    </row>
    <row r="86" spans="1:29" x14ac:dyDescent="0.3">
      <c r="A86" s="4" t="s">
        <v>29</v>
      </c>
      <c r="B86" s="4">
        <v>4307433</v>
      </c>
      <c r="C86" s="4">
        <v>4307433</v>
      </c>
      <c r="D86" s="4" t="s">
        <v>200</v>
      </c>
      <c r="E86" s="4" t="s">
        <v>106</v>
      </c>
      <c r="F86" s="4" t="s">
        <v>201</v>
      </c>
      <c r="G86" s="5">
        <v>22041</v>
      </c>
      <c r="H86" s="4">
        <f>DAY(G86)</f>
        <v>5</v>
      </c>
      <c r="I86" s="4">
        <f>MONTH(G86)</f>
        <v>5</v>
      </c>
      <c r="J86" s="4">
        <f>YEAR(G86)</f>
        <v>1960</v>
      </c>
      <c r="K86" s="6">
        <v>6005051100082</v>
      </c>
      <c r="L86" s="5">
        <v>43983</v>
      </c>
      <c r="M86" s="5">
        <v>45474</v>
      </c>
      <c r="N86" s="5">
        <v>45838</v>
      </c>
      <c r="O86" s="4">
        <v>7468.64</v>
      </c>
      <c r="P86" s="4">
        <v>1</v>
      </c>
      <c r="Q86" s="4" t="s">
        <v>33</v>
      </c>
      <c r="R86" s="4" t="s">
        <v>34</v>
      </c>
      <c r="S86" s="4">
        <v>280164</v>
      </c>
      <c r="T86" s="4">
        <v>57710034598</v>
      </c>
      <c r="U86" s="4">
        <v>0</v>
      </c>
      <c r="V86" s="4">
        <v>0</v>
      </c>
      <c r="W86" s="4">
        <v>0</v>
      </c>
      <c r="X86" s="4">
        <v>585.39</v>
      </c>
      <c r="Y86" s="4">
        <v>7468.64</v>
      </c>
      <c r="Z86" s="4">
        <v>6883.25</v>
      </c>
      <c r="AA86" s="4" t="s">
        <v>35</v>
      </c>
    </row>
    <row r="87" spans="1:29" x14ac:dyDescent="0.3">
      <c r="A87" s="4" t="s">
        <v>29</v>
      </c>
      <c r="B87" s="4">
        <v>4326296</v>
      </c>
      <c r="C87" s="4">
        <v>4326296</v>
      </c>
      <c r="D87" s="4" t="s">
        <v>202</v>
      </c>
      <c r="E87" s="4" t="s">
        <v>203</v>
      </c>
      <c r="F87" s="4" t="s">
        <v>204</v>
      </c>
      <c r="G87" s="5">
        <v>23157</v>
      </c>
      <c r="H87" s="4">
        <f>DAY(G87)</f>
        <v>26</v>
      </c>
      <c r="I87" s="4">
        <f>MONTH(G87)</f>
        <v>5</v>
      </c>
      <c r="J87" s="4">
        <f>YEAR(G87)</f>
        <v>1963</v>
      </c>
      <c r="K87" s="6">
        <v>6305266100012</v>
      </c>
      <c r="L87" s="5">
        <v>45078</v>
      </c>
      <c r="M87" s="5">
        <v>45474</v>
      </c>
      <c r="N87" s="5">
        <v>45838</v>
      </c>
      <c r="O87" s="4">
        <v>22859.35</v>
      </c>
      <c r="P87" s="4">
        <v>1</v>
      </c>
      <c r="Q87" s="4" t="s">
        <v>33</v>
      </c>
      <c r="R87" s="4" t="s">
        <v>34</v>
      </c>
      <c r="S87" s="4">
        <v>663164</v>
      </c>
      <c r="T87" s="4">
        <v>9110002748668</v>
      </c>
      <c r="U87" s="4">
        <v>0</v>
      </c>
      <c r="V87" s="4">
        <v>0</v>
      </c>
      <c r="W87" s="4">
        <v>0</v>
      </c>
      <c r="X87" s="4">
        <v>5093.58</v>
      </c>
      <c r="Y87" s="4">
        <v>22859.35</v>
      </c>
      <c r="Z87" s="4">
        <v>17765.77</v>
      </c>
      <c r="AA87" s="4" t="s">
        <v>35</v>
      </c>
    </row>
    <row r="88" spans="1:29" x14ac:dyDescent="0.3">
      <c r="A88" s="4" t="s">
        <v>29</v>
      </c>
      <c r="B88" s="4">
        <v>4334729</v>
      </c>
      <c r="C88" s="4">
        <v>4334729</v>
      </c>
      <c r="D88" s="4" t="s">
        <v>205</v>
      </c>
      <c r="E88" s="4" t="s">
        <v>134</v>
      </c>
      <c r="F88" s="4" t="s">
        <v>206</v>
      </c>
      <c r="G88" s="5">
        <v>20576</v>
      </c>
      <c r="H88" s="4">
        <f>DAY(G88)</f>
        <v>1</v>
      </c>
      <c r="I88" s="4">
        <f>MONTH(G88)</f>
        <v>5</v>
      </c>
      <c r="J88" s="4">
        <f>YEAR(G88)</f>
        <v>1956</v>
      </c>
      <c r="K88" s="6">
        <v>5606021100119</v>
      </c>
      <c r="L88" s="5">
        <v>42491</v>
      </c>
      <c r="M88" s="5">
        <v>45474</v>
      </c>
      <c r="N88" s="5">
        <v>45838</v>
      </c>
      <c r="O88" s="4">
        <v>14335.17</v>
      </c>
      <c r="P88" s="4">
        <v>1</v>
      </c>
      <c r="Q88" s="4" t="s">
        <v>33</v>
      </c>
      <c r="R88" s="4" t="s">
        <v>34</v>
      </c>
      <c r="S88" s="4">
        <v>280164</v>
      </c>
      <c r="T88" s="4">
        <v>62223400178</v>
      </c>
      <c r="U88" s="4">
        <v>0</v>
      </c>
      <c r="V88" s="4">
        <v>0</v>
      </c>
      <c r="W88" s="4">
        <v>0</v>
      </c>
      <c r="X88" s="4">
        <v>2350.5500000000002</v>
      </c>
      <c r="Y88" s="4">
        <v>14335.17</v>
      </c>
      <c r="Z88" s="4">
        <v>11984.62</v>
      </c>
      <c r="AA88" s="4" t="s">
        <v>35</v>
      </c>
    </row>
    <row r="89" spans="1:29" x14ac:dyDescent="0.3">
      <c r="A89" s="4" t="s">
        <v>29</v>
      </c>
      <c r="B89" s="4">
        <v>4402033</v>
      </c>
      <c r="C89" s="4">
        <v>4402033</v>
      </c>
      <c r="D89" s="4" t="s">
        <v>172</v>
      </c>
      <c r="E89" s="4" t="s">
        <v>41</v>
      </c>
      <c r="F89" s="4" t="s">
        <v>78</v>
      </c>
      <c r="G89" s="5">
        <v>22043</v>
      </c>
      <c r="H89" s="4">
        <f>DAY(G89)</f>
        <v>7</v>
      </c>
      <c r="I89" s="4">
        <f>MONTH(G89)</f>
        <v>5</v>
      </c>
      <c r="J89" s="4">
        <f>YEAR(G89)</f>
        <v>1960</v>
      </c>
      <c r="K89" s="6">
        <v>326001004402033</v>
      </c>
      <c r="L89" s="5">
        <v>43983</v>
      </c>
      <c r="M89" s="5">
        <v>45474</v>
      </c>
      <c r="N89" s="5">
        <v>45838</v>
      </c>
      <c r="O89" s="4">
        <v>5389.07</v>
      </c>
      <c r="P89" s="4">
        <v>1</v>
      </c>
      <c r="Q89" s="4" t="s">
        <v>33</v>
      </c>
      <c r="R89" s="4" t="s">
        <v>34</v>
      </c>
      <c r="S89" s="4">
        <v>770002</v>
      </c>
      <c r="T89" s="4">
        <v>77402299021</v>
      </c>
      <c r="U89" s="4">
        <v>20</v>
      </c>
      <c r="V89" s="4">
        <v>0</v>
      </c>
      <c r="W89" s="4">
        <v>0</v>
      </c>
      <c r="X89" s="4">
        <v>169.48</v>
      </c>
      <c r="Y89" s="4">
        <v>5389.07</v>
      </c>
      <c r="Z89" s="4">
        <v>5199.59</v>
      </c>
      <c r="AA89" s="4" t="s">
        <v>35</v>
      </c>
    </row>
    <row r="90" spans="1:29" x14ac:dyDescent="0.3">
      <c r="A90" s="4" t="s">
        <v>29</v>
      </c>
      <c r="B90" s="4">
        <v>4425223</v>
      </c>
      <c r="C90" s="4">
        <v>4425223</v>
      </c>
      <c r="D90" s="4" t="s">
        <v>168</v>
      </c>
      <c r="E90" s="4" t="s">
        <v>56</v>
      </c>
      <c r="F90" s="4" t="s">
        <v>207</v>
      </c>
      <c r="G90" s="5">
        <v>22772</v>
      </c>
      <c r="H90" s="4">
        <f>DAY(G90)</f>
        <v>6</v>
      </c>
      <c r="I90" s="4">
        <f>MONTH(G90)</f>
        <v>5</v>
      </c>
      <c r="J90" s="4">
        <f>YEAR(G90)</f>
        <v>1962</v>
      </c>
      <c r="K90" s="6">
        <v>6205066100073</v>
      </c>
      <c r="L90" s="5">
        <v>44713</v>
      </c>
      <c r="M90" s="5">
        <v>45474</v>
      </c>
      <c r="N90" s="5">
        <v>45838</v>
      </c>
      <c r="O90" s="4">
        <v>26788.22</v>
      </c>
      <c r="P90" s="4">
        <v>1</v>
      </c>
      <c r="Q90" s="4" t="s">
        <v>33</v>
      </c>
      <c r="R90" s="4" t="s">
        <v>34</v>
      </c>
      <c r="S90" s="4">
        <v>360164</v>
      </c>
      <c r="T90" s="4">
        <v>40000037208</v>
      </c>
      <c r="U90" s="4">
        <v>0</v>
      </c>
      <c r="V90" s="4">
        <v>0</v>
      </c>
      <c r="W90" s="4">
        <v>0</v>
      </c>
      <c r="X90" s="4">
        <v>6390.11</v>
      </c>
      <c r="Y90" s="4">
        <v>26788.22</v>
      </c>
      <c r="Z90" s="4">
        <v>20398.11</v>
      </c>
      <c r="AA90" s="4" t="s">
        <v>35</v>
      </c>
    </row>
    <row r="91" spans="1:29" x14ac:dyDescent="0.3">
      <c r="A91" s="4" t="s">
        <v>29</v>
      </c>
      <c r="B91" s="4">
        <v>4436010</v>
      </c>
      <c r="C91" s="4">
        <v>4436010</v>
      </c>
      <c r="D91" s="4" t="s">
        <v>37</v>
      </c>
      <c r="E91" s="4" t="s">
        <v>38</v>
      </c>
      <c r="F91" s="4" t="s">
        <v>208</v>
      </c>
      <c r="G91" s="5">
        <v>23134</v>
      </c>
      <c r="H91" s="4">
        <f>DAY(G91)</f>
        <v>3</v>
      </c>
      <c r="I91" s="4">
        <f>MONTH(G91)</f>
        <v>5</v>
      </c>
      <c r="J91" s="4">
        <f>YEAR(G91)</f>
        <v>1963</v>
      </c>
      <c r="K91" s="6">
        <v>6305036100243</v>
      </c>
      <c r="L91" s="5">
        <v>45078</v>
      </c>
      <c r="M91" s="5">
        <v>45474</v>
      </c>
      <c r="N91" s="5">
        <v>45838</v>
      </c>
      <c r="O91" s="4">
        <v>1877.49</v>
      </c>
      <c r="P91" s="4">
        <v>1</v>
      </c>
      <c r="Q91" s="4" t="s">
        <v>33</v>
      </c>
      <c r="R91" s="4" t="s">
        <v>34</v>
      </c>
      <c r="S91" s="4">
        <v>770002</v>
      </c>
      <c r="T91" s="4">
        <v>77400965725</v>
      </c>
      <c r="U91" s="4">
        <v>0</v>
      </c>
      <c r="V91" s="4">
        <v>0</v>
      </c>
      <c r="W91" s="4">
        <v>0</v>
      </c>
      <c r="X91" s="4">
        <v>0</v>
      </c>
      <c r="Y91" s="4">
        <v>1877.49</v>
      </c>
      <c r="Z91" s="4">
        <v>1877.49</v>
      </c>
      <c r="AA91" s="4" t="s">
        <v>35</v>
      </c>
    </row>
    <row r="92" spans="1:29" x14ac:dyDescent="0.3">
      <c r="A92" s="4" t="s">
        <v>29</v>
      </c>
      <c r="B92" s="4">
        <v>4438885</v>
      </c>
      <c r="C92" s="4">
        <v>4438885</v>
      </c>
      <c r="D92" s="4" t="s">
        <v>209</v>
      </c>
      <c r="E92" s="4" t="s">
        <v>31</v>
      </c>
      <c r="F92" s="4" t="s">
        <v>210</v>
      </c>
      <c r="G92" s="5">
        <v>22054</v>
      </c>
      <c r="H92" s="4">
        <f>DAY(G92)</f>
        <v>18</v>
      </c>
      <c r="I92" s="4">
        <f>MONTH(G92)</f>
        <v>5</v>
      </c>
      <c r="J92" s="4">
        <f>YEAR(G92)</f>
        <v>1960</v>
      </c>
      <c r="K92" s="6">
        <v>6005181100010</v>
      </c>
      <c r="L92" s="5">
        <v>43983</v>
      </c>
      <c r="M92" s="5">
        <v>45474</v>
      </c>
      <c r="N92" s="5">
        <v>45838</v>
      </c>
      <c r="O92" s="4">
        <v>4159.68</v>
      </c>
      <c r="P92" s="4">
        <v>1</v>
      </c>
      <c r="Q92" s="4" t="s">
        <v>33</v>
      </c>
      <c r="R92" s="4" t="s">
        <v>34</v>
      </c>
      <c r="S92" s="4">
        <v>770002</v>
      </c>
      <c r="T92" s="4">
        <v>77400599052</v>
      </c>
      <c r="U92" s="4">
        <v>0</v>
      </c>
      <c r="V92" s="4">
        <v>0</v>
      </c>
      <c r="W92" s="4">
        <v>0</v>
      </c>
      <c r="X92" s="4">
        <v>0</v>
      </c>
      <c r="Y92" s="4">
        <v>4159.68</v>
      </c>
      <c r="Z92" s="4">
        <v>4159.68</v>
      </c>
      <c r="AA92" s="4" t="s">
        <v>35</v>
      </c>
    </row>
    <row r="93" spans="1:29" x14ac:dyDescent="0.3">
      <c r="A93" s="4" t="s">
        <v>29</v>
      </c>
      <c r="B93" s="4">
        <v>4449270</v>
      </c>
      <c r="C93" s="4">
        <v>4449270</v>
      </c>
      <c r="D93" s="4" t="s">
        <v>211</v>
      </c>
      <c r="E93" s="4" t="s">
        <v>151</v>
      </c>
      <c r="F93" s="4" t="s">
        <v>212</v>
      </c>
      <c r="G93" s="5">
        <v>23132</v>
      </c>
      <c r="H93" s="4">
        <f>DAY(G93)</f>
        <v>1</v>
      </c>
      <c r="I93" s="4">
        <f>MONTH(G93)</f>
        <v>5</v>
      </c>
      <c r="J93" s="4">
        <f>YEAR(G93)</f>
        <v>1963</v>
      </c>
      <c r="K93" s="6">
        <v>6505221100060</v>
      </c>
      <c r="L93" s="5">
        <v>45047</v>
      </c>
      <c r="M93" s="5">
        <v>45474</v>
      </c>
      <c r="N93" s="5">
        <v>45838</v>
      </c>
      <c r="O93" s="4">
        <v>5268</v>
      </c>
      <c r="P93" s="4">
        <v>1</v>
      </c>
      <c r="Q93" s="4" t="s">
        <v>33</v>
      </c>
      <c r="R93" s="4" t="s">
        <v>34</v>
      </c>
      <c r="S93" s="4">
        <v>90001</v>
      </c>
      <c r="T93" s="4">
        <v>51000569627</v>
      </c>
      <c r="U93" s="4">
        <v>0</v>
      </c>
      <c r="V93" s="4">
        <v>0</v>
      </c>
      <c r="W93" s="4">
        <v>0</v>
      </c>
      <c r="X93" s="4">
        <v>145.26</v>
      </c>
      <c r="Y93" s="4">
        <v>5268</v>
      </c>
      <c r="Z93" s="4">
        <v>5122.74</v>
      </c>
      <c r="AA93" s="4" t="s">
        <v>35</v>
      </c>
    </row>
    <row r="94" spans="1:29" x14ac:dyDescent="0.3">
      <c r="A94" s="4" t="s">
        <v>29</v>
      </c>
      <c r="B94" s="4">
        <v>4452904</v>
      </c>
      <c r="C94" s="4">
        <v>4452904</v>
      </c>
      <c r="D94" s="4" t="s">
        <v>213</v>
      </c>
      <c r="E94" s="4" t="s">
        <v>51</v>
      </c>
      <c r="F94" s="4" t="s">
        <v>214</v>
      </c>
      <c r="G94" s="5">
        <v>23521</v>
      </c>
      <c r="H94" s="4">
        <f>DAY(G94)</f>
        <v>24</v>
      </c>
      <c r="I94" s="4">
        <f>MONTH(G94)</f>
        <v>5</v>
      </c>
      <c r="J94" s="4">
        <f>YEAR(G94)</f>
        <v>1964</v>
      </c>
      <c r="K94" s="6">
        <v>6405246100155</v>
      </c>
      <c r="L94" s="5">
        <v>45444</v>
      </c>
      <c r="M94" s="5">
        <v>45474</v>
      </c>
      <c r="N94" s="5">
        <v>45838</v>
      </c>
      <c r="O94" s="4">
        <v>1500</v>
      </c>
      <c r="P94" s="4">
        <v>1</v>
      </c>
      <c r="Q94" s="4" t="s">
        <v>33</v>
      </c>
      <c r="R94" s="4" t="s">
        <v>34</v>
      </c>
      <c r="S94" s="4">
        <v>90001</v>
      </c>
      <c r="T94" s="4">
        <v>51000371584</v>
      </c>
      <c r="U94" s="4">
        <v>0</v>
      </c>
      <c r="V94" s="4">
        <v>0</v>
      </c>
      <c r="W94" s="4">
        <v>0</v>
      </c>
      <c r="X94" s="4">
        <v>0</v>
      </c>
      <c r="Y94" s="4">
        <v>1500</v>
      </c>
      <c r="Z94" s="4">
        <v>1500</v>
      </c>
      <c r="AA94" s="4" t="s">
        <v>35</v>
      </c>
      <c r="AB94" s="4" t="s">
        <v>36</v>
      </c>
    </row>
    <row r="95" spans="1:29" x14ac:dyDescent="0.3">
      <c r="A95" s="4" t="s">
        <v>29</v>
      </c>
      <c r="B95" s="4">
        <v>4506694</v>
      </c>
      <c r="C95" s="4">
        <v>4506694</v>
      </c>
      <c r="D95" s="4" t="s">
        <v>215</v>
      </c>
      <c r="E95" s="4" t="s">
        <v>216</v>
      </c>
      <c r="F95" s="4" t="s">
        <v>217</v>
      </c>
      <c r="G95" s="5">
        <v>24242</v>
      </c>
      <c r="H95" s="4">
        <f>DAY(G95)</f>
        <v>15</v>
      </c>
      <c r="I95" s="4">
        <f>MONTH(G95)</f>
        <v>5</v>
      </c>
      <c r="J95" s="4">
        <f>YEAR(G95)</f>
        <v>1966</v>
      </c>
      <c r="K95" s="6">
        <v>6805156100485</v>
      </c>
      <c r="L95" s="5">
        <v>45748</v>
      </c>
      <c r="M95" s="5">
        <v>45748</v>
      </c>
      <c r="N95" s="5">
        <v>45838</v>
      </c>
      <c r="O95" s="4">
        <v>7720.08</v>
      </c>
      <c r="P95" s="4">
        <v>1</v>
      </c>
      <c r="Q95" s="4" t="s">
        <v>33</v>
      </c>
      <c r="R95" s="4" t="s">
        <v>34</v>
      </c>
      <c r="S95" s="4">
        <v>90001</v>
      </c>
      <c r="T95" s="4">
        <v>52001305680</v>
      </c>
      <c r="U95" s="4">
        <v>0</v>
      </c>
      <c r="V95" s="4">
        <v>0</v>
      </c>
      <c r="W95" s="4">
        <v>0</v>
      </c>
      <c r="X95" s="4">
        <v>635.67999999999995</v>
      </c>
      <c r="Y95" s="4">
        <v>7720.08</v>
      </c>
      <c r="Z95" s="4">
        <v>7084.4</v>
      </c>
      <c r="AA95" s="4" t="s">
        <v>35</v>
      </c>
    </row>
    <row r="96" spans="1:29" x14ac:dyDescent="0.3">
      <c r="A96" s="4" t="s">
        <v>29</v>
      </c>
      <c r="B96" s="4">
        <v>4529671</v>
      </c>
      <c r="C96" s="4">
        <v>4529671</v>
      </c>
      <c r="D96" s="4" t="s">
        <v>96</v>
      </c>
      <c r="E96" s="4" t="s">
        <v>218</v>
      </c>
      <c r="F96" s="4" t="s">
        <v>219</v>
      </c>
      <c r="G96" s="5">
        <v>23877</v>
      </c>
      <c r="H96" s="4">
        <f>DAY(G96)</f>
        <v>15</v>
      </c>
      <c r="I96" s="4">
        <f>MONTH(G96)</f>
        <v>5</v>
      </c>
      <c r="J96" s="4">
        <f>YEAR(G96)</f>
        <v>1965</v>
      </c>
      <c r="K96" s="6">
        <v>6505156100382</v>
      </c>
      <c r="L96" s="5">
        <v>45809</v>
      </c>
      <c r="M96" s="5">
        <v>45809</v>
      </c>
      <c r="N96" s="5">
        <v>45838</v>
      </c>
      <c r="O96" s="4">
        <v>1500</v>
      </c>
      <c r="P96" s="4">
        <v>1</v>
      </c>
      <c r="Q96" s="4" t="s">
        <v>33</v>
      </c>
      <c r="R96" s="4" t="s">
        <v>34</v>
      </c>
      <c r="S96" s="4">
        <v>770001</v>
      </c>
      <c r="T96" s="4">
        <v>77400019994</v>
      </c>
      <c r="U96" s="4">
        <v>0</v>
      </c>
      <c r="V96" s="4">
        <v>0</v>
      </c>
      <c r="W96" s="4">
        <v>0</v>
      </c>
      <c r="X96" s="4">
        <v>0</v>
      </c>
      <c r="Y96" s="4">
        <v>1500</v>
      </c>
      <c r="Z96" s="4">
        <v>1500</v>
      </c>
      <c r="AA96" s="4" t="s">
        <v>35</v>
      </c>
    </row>
    <row r="97" spans="1:29" x14ac:dyDescent="0.3">
      <c r="A97" s="4" t="s">
        <v>29</v>
      </c>
      <c r="B97" s="4">
        <v>4561583</v>
      </c>
      <c r="C97" s="4">
        <v>4561583</v>
      </c>
      <c r="D97" s="4" t="s">
        <v>37</v>
      </c>
      <c r="E97" s="4" t="s">
        <v>38</v>
      </c>
      <c r="F97" s="4" t="s">
        <v>220</v>
      </c>
      <c r="G97" s="5">
        <v>23884</v>
      </c>
      <c r="H97" s="4">
        <f>DAY(G97)</f>
        <v>22</v>
      </c>
      <c r="I97" s="4">
        <f>MONTH(G97)</f>
        <v>5</v>
      </c>
      <c r="J97" s="4">
        <f>YEAR(G97)</f>
        <v>1965</v>
      </c>
      <c r="K97" s="6">
        <v>6505226100263</v>
      </c>
      <c r="L97" s="5">
        <v>45809</v>
      </c>
      <c r="M97" s="5">
        <v>45809</v>
      </c>
      <c r="N97" s="5">
        <v>45838</v>
      </c>
      <c r="O97" s="4">
        <v>13669.33</v>
      </c>
      <c r="P97" s="4">
        <v>1</v>
      </c>
      <c r="Q97" s="4" t="s">
        <v>33</v>
      </c>
      <c r="R97" s="4" t="s">
        <v>34</v>
      </c>
      <c r="S97" s="4">
        <v>660564</v>
      </c>
      <c r="T97" s="4">
        <v>9110003206303</v>
      </c>
      <c r="U97" s="4">
        <v>0</v>
      </c>
      <c r="V97" s="4">
        <v>0</v>
      </c>
      <c r="W97" s="4">
        <v>0</v>
      </c>
      <c r="X97" s="4">
        <v>2150.79</v>
      </c>
      <c r="Y97" s="4">
        <v>13669.33</v>
      </c>
      <c r="Z97" s="4">
        <v>11518.54</v>
      </c>
      <c r="AA97" s="4" t="s">
        <v>35</v>
      </c>
    </row>
    <row r="98" spans="1:29" x14ac:dyDescent="0.3">
      <c r="A98" s="4" t="s">
        <v>29</v>
      </c>
      <c r="B98" s="4">
        <v>4567503</v>
      </c>
      <c r="C98" s="4">
        <v>4567503</v>
      </c>
      <c r="D98" s="4" t="s">
        <v>133</v>
      </c>
      <c r="E98" s="4" t="s">
        <v>151</v>
      </c>
      <c r="F98" s="4" t="s">
        <v>221</v>
      </c>
      <c r="G98" s="5">
        <v>23887</v>
      </c>
      <c r="H98" s="4">
        <f>DAY(G98)</f>
        <v>25</v>
      </c>
      <c r="I98" s="4">
        <f>MONTH(G98)</f>
        <v>5</v>
      </c>
      <c r="J98" s="4">
        <f>YEAR(G98)</f>
        <v>1965</v>
      </c>
      <c r="K98" s="6">
        <v>6505251100675</v>
      </c>
      <c r="L98" s="5">
        <v>45809</v>
      </c>
      <c r="M98" s="5">
        <v>45809</v>
      </c>
      <c r="N98" s="5">
        <v>45838</v>
      </c>
      <c r="O98" s="4">
        <v>11776.16</v>
      </c>
      <c r="P98" s="4">
        <v>1</v>
      </c>
      <c r="Q98" s="4" t="s">
        <v>33</v>
      </c>
      <c r="R98" s="4" t="s">
        <v>34</v>
      </c>
      <c r="S98" s="4">
        <v>280164</v>
      </c>
      <c r="T98" s="4">
        <v>57730028951</v>
      </c>
      <c r="U98" s="4">
        <v>0</v>
      </c>
      <c r="V98" s="4">
        <v>0</v>
      </c>
      <c r="W98" s="4">
        <v>0</v>
      </c>
      <c r="X98" s="4">
        <v>1619.04</v>
      </c>
      <c r="Y98" s="4">
        <v>11776.16</v>
      </c>
      <c r="Z98" s="4">
        <v>10157.120000000001</v>
      </c>
      <c r="AA98" s="4" t="s">
        <v>35</v>
      </c>
    </row>
    <row r="99" spans="1:29" x14ac:dyDescent="0.3">
      <c r="A99" s="4" t="s">
        <v>29</v>
      </c>
      <c r="B99" s="4">
        <v>4620301</v>
      </c>
      <c r="C99" s="4">
        <v>4620301</v>
      </c>
      <c r="D99" s="4" t="s">
        <v>222</v>
      </c>
      <c r="E99" s="4" t="s">
        <v>38</v>
      </c>
      <c r="F99" s="4" t="s">
        <v>223</v>
      </c>
      <c r="G99" s="5">
        <v>24258</v>
      </c>
      <c r="H99" s="4">
        <f>DAY(G99)</f>
        <v>31</v>
      </c>
      <c r="I99" s="4">
        <f>MONTH(G99)</f>
        <v>5</v>
      </c>
      <c r="J99" s="4">
        <f>YEAR(G99)</f>
        <v>1966</v>
      </c>
      <c r="K99" s="6">
        <v>6506161000096</v>
      </c>
      <c r="L99" s="5">
        <v>44805</v>
      </c>
      <c r="M99" s="5">
        <v>45474</v>
      </c>
      <c r="N99" s="5">
        <v>45838</v>
      </c>
      <c r="O99" s="4">
        <v>7340.33</v>
      </c>
      <c r="P99" s="4">
        <v>1</v>
      </c>
      <c r="Q99" s="4" t="s">
        <v>33</v>
      </c>
      <c r="R99" s="4" t="s">
        <v>34</v>
      </c>
      <c r="S99" s="4">
        <v>770001</v>
      </c>
      <c r="T99" s="4">
        <v>77400911773</v>
      </c>
      <c r="U99" s="4">
        <v>0</v>
      </c>
      <c r="V99" s="4">
        <v>0</v>
      </c>
      <c r="W99" s="4">
        <v>0</v>
      </c>
      <c r="X99" s="4">
        <v>559.73</v>
      </c>
      <c r="Y99" s="4">
        <v>7340.33</v>
      </c>
      <c r="Z99" s="4">
        <v>6780.6</v>
      </c>
      <c r="AA99" s="4" t="s">
        <v>35</v>
      </c>
    </row>
    <row r="100" spans="1:29" x14ac:dyDescent="0.3">
      <c r="A100" s="4" t="s">
        <v>29</v>
      </c>
      <c r="B100" s="4">
        <v>4638188</v>
      </c>
      <c r="C100" s="4">
        <v>4638188</v>
      </c>
      <c r="D100" s="4" t="s">
        <v>224</v>
      </c>
      <c r="E100" s="4" t="s">
        <v>225</v>
      </c>
      <c r="F100" s="4" t="s">
        <v>226</v>
      </c>
      <c r="G100" s="5">
        <v>23522</v>
      </c>
      <c r="H100" s="4">
        <f>DAY(G100)</f>
        <v>25</v>
      </c>
      <c r="I100" s="4">
        <f>MONTH(G100)</f>
        <v>5</v>
      </c>
      <c r="J100" s="4">
        <f>YEAR(G100)</f>
        <v>1964</v>
      </c>
      <c r="K100" s="6">
        <v>6405251100132</v>
      </c>
      <c r="L100" s="5">
        <v>45444</v>
      </c>
      <c r="M100" s="5">
        <v>45444</v>
      </c>
      <c r="N100" s="5">
        <v>45838</v>
      </c>
      <c r="O100" s="4">
        <v>10820.05</v>
      </c>
      <c r="P100" s="4">
        <v>1</v>
      </c>
      <c r="Q100" s="4" t="s">
        <v>33</v>
      </c>
      <c r="R100" s="4" t="s">
        <v>34</v>
      </c>
      <c r="S100" s="4">
        <v>770001</v>
      </c>
      <c r="T100" s="4">
        <v>77400043062</v>
      </c>
      <c r="U100" s="4">
        <v>0</v>
      </c>
      <c r="V100" s="4">
        <v>0</v>
      </c>
      <c r="W100" s="4">
        <v>0</v>
      </c>
      <c r="X100" s="4">
        <v>1380.01</v>
      </c>
      <c r="Y100" s="4">
        <v>10820.05</v>
      </c>
      <c r="Z100" s="4">
        <v>9440.0400000000009</v>
      </c>
      <c r="AA100" s="4" t="s">
        <v>35</v>
      </c>
    </row>
    <row r="101" spans="1:29" x14ac:dyDescent="0.3">
      <c r="A101" s="4" t="s">
        <v>29</v>
      </c>
      <c r="B101" s="4">
        <v>4673756</v>
      </c>
      <c r="C101" s="4">
        <v>4673756</v>
      </c>
      <c r="D101" s="4" t="s">
        <v>227</v>
      </c>
      <c r="E101" s="4" t="s">
        <v>228</v>
      </c>
      <c r="F101" s="4" t="s">
        <v>229</v>
      </c>
      <c r="G101" s="5">
        <v>25706</v>
      </c>
      <c r="H101" s="4">
        <f>DAY(G101)</f>
        <v>18</v>
      </c>
      <c r="I101" s="4">
        <f>MONTH(G101)</f>
        <v>5</v>
      </c>
      <c r="J101" s="4">
        <f>YEAR(G101)</f>
        <v>1970</v>
      </c>
      <c r="K101" s="6">
        <v>7005186100063</v>
      </c>
      <c r="L101" s="5">
        <v>44652</v>
      </c>
      <c r="M101" s="5">
        <v>45474</v>
      </c>
      <c r="N101" s="5">
        <v>45838</v>
      </c>
      <c r="O101" s="4">
        <v>6792.19</v>
      </c>
      <c r="P101" s="4">
        <v>1</v>
      </c>
      <c r="Q101" s="4" t="s">
        <v>33</v>
      </c>
      <c r="R101" s="4" t="s">
        <v>34</v>
      </c>
      <c r="S101" s="4">
        <v>282064</v>
      </c>
      <c r="T101" s="4">
        <v>62505605363</v>
      </c>
      <c r="U101" s="4">
        <v>0</v>
      </c>
      <c r="V101" s="4">
        <v>0</v>
      </c>
      <c r="W101" s="4">
        <v>0</v>
      </c>
      <c r="X101" s="4">
        <v>675.1</v>
      </c>
      <c r="Y101" s="4">
        <v>6792.19</v>
      </c>
      <c r="Z101" s="4">
        <v>6117.09</v>
      </c>
      <c r="AA101" s="4" t="s">
        <v>35</v>
      </c>
    </row>
    <row r="102" spans="1:29" x14ac:dyDescent="0.3">
      <c r="A102" s="4" t="s">
        <v>29</v>
      </c>
      <c r="B102" s="4">
        <v>474074</v>
      </c>
      <c r="C102" s="4">
        <v>474074</v>
      </c>
      <c r="D102" s="4" t="s">
        <v>222</v>
      </c>
      <c r="E102" s="4" t="s">
        <v>51</v>
      </c>
      <c r="F102" s="4" t="s">
        <v>230</v>
      </c>
      <c r="G102" s="5">
        <v>16935</v>
      </c>
      <c r="H102" s="4">
        <f>DAY(G102)</f>
        <v>13</v>
      </c>
      <c r="I102" s="4">
        <f>MONTH(G102)</f>
        <v>5</v>
      </c>
      <c r="J102" s="4">
        <f>YEAR(G102)</f>
        <v>1946</v>
      </c>
      <c r="K102" s="6">
        <v>4505131100020</v>
      </c>
      <c r="L102" s="5">
        <v>38869</v>
      </c>
      <c r="M102" s="5">
        <v>45474</v>
      </c>
      <c r="N102" s="5">
        <v>45838</v>
      </c>
      <c r="O102" s="4">
        <v>11739.89</v>
      </c>
      <c r="P102" s="4">
        <v>1</v>
      </c>
      <c r="Q102" s="4" t="s">
        <v>33</v>
      </c>
      <c r="R102" s="4" t="s">
        <v>34</v>
      </c>
      <c r="S102" s="4">
        <v>663164</v>
      </c>
      <c r="T102" s="4">
        <v>9110000516999</v>
      </c>
      <c r="U102" s="4">
        <v>0</v>
      </c>
      <c r="V102" s="4">
        <v>0</v>
      </c>
      <c r="W102" s="4">
        <v>0</v>
      </c>
      <c r="X102" s="4">
        <v>1609.97</v>
      </c>
      <c r="Y102" s="4">
        <v>11739.89</v>
      </c>
      <c r="Z102" s="4">
        <v>10129.92</v>
      </c>
      <c r="AA102" s="4" t="s">
        <v>35</v>
      </c>
    </row>
    <row r="103" spans="1:29" x14ac:dyDescent="0.3">
      <c r="A103" s="4" t="s">
        <v>29</v>
      </c>
      <c r="B103" s="4">
        <v>4747585</v>
      </c>
      <c r="C103" s="4">
        <v>4747585</v>
      </c>
      <c r="D103" s="4" t="s">
        <v>37</v>
      </c>
      <c r="E103" s="4" t="s">
        <v>231</v>
      </c>
      <c r="F103" s="4" t="s">
        <v>232</v>
      </c>
      <c r="G103" s="5">
        <v>25352</v>
      </c>
      <c r="H103" s="4">
        <f>DAY(G103)</f>
        <v>29</v>
      </c>
      <c r="I103" s="4">
        <f>MONTH(G103)</f>
        <v>5</v>
      </c>
      <c r="J103" s="4">
        <f>YEAR(G103)</f>
        <v>1969</v>
      </c>
      <c r="K103" s="6">
        <v>6905296100054</v>
      </c>
      <c r="L103" s="5">
        <v>44440</v>
      </c>
      <c r="M103" s="5">
        <v>45474</v>
      </c>
      <c r="N103" s="5">
        <v>45838</v>
      </c>
      <c r="O103" s="4">
        <v>10858.08</v>
      </c>
      <c r="P103" s="4">
        <v>1</v>
      </c>
      <c r="Q103" s="4" t="s">
        <v>33</v>
      </c>
      <c r="R103" s="4" t="s">
        <v>34</v>
      </c>
      <c r="S103" s="4">
        <v>280164</v>
      </c>
      <c r="T103" s="4">
        <v>57710031841</v>
      </c>
      <c r="U103" s="4">
        <v>0</v>
      </c>
      <c r="V103" s="4">
        <v>0</v>
      </c>
      <c r="W103" s="4">
        <v>0</v>
      </c>
      <c r="X103" s="4">
        <v>1614.52</v>
      </c>
      <c r="Y103" s="4">
        <v>10858.08</v>
      </c>
      <c r="Z103" s="4">
        <v>9243.56</v>
      </c>
      <c r="AA103" s="4" t="s">
        <v>35</v>
      </c>
      <c r="AB103" s="4" t="s">
        <v>36</v>
      </c>
    </row>
    <row r="104" spans="1:29" x14ac:dyDescent="0.3">
      <c r="A104" s="4" t="s">
        <v>29</v>
      </c>
      <c r="B104" s="4">
        <v>4792781</v>
      </c>
      <c r="C104" s="4">
        <v>4792781</v>
      </c>
      <c r="D104" s="4" t="s">
        <v>209</v>
      </c>
      <c r="E104" s="4" t="s">
        <v>106</v>
      </c>
      <c r="F104" s="4" t="s">
        <v>233</v>
      </c>
      <c r="G104" s="5">
        <v>25708</v>
      </c>
      <c r="H104" s="4">
        <f>DAY(G104)</f>
        <v>20</v>
      </c>
      <c r="I104" s="4">
        <f>MONTH(G104)</f>
        <v>5</v>
      </c>
      <c r="J104" s="4">
        <f>YEAR(G104)</f>
        <v>1970</v>
      </c>
      <c r="K104" s="6">
        <v>326001004792781</v>
      </c>
      <c r="L104" s="5">
        <v>42217</v>
      </c>
      <c r="M104" s="5">
        <v>45474</v>
      </c>
      <c r="N104" s="5">
        <v>45838</v>
      </c>
      <c r="O104" s="4">
        <v>1560.63</v>
      </c>
      <c r="P104" s="4">
        <v>1</v>
      </c>
      <c r="Q104" s="4" t="s">
        <v>33</v>
      </c>
      <c r="R104" s="4" t="s">
        <v>34</v>
      </c>
      <c r="S104" s="4">
        <v>280164</v>
      </c>
      <c r="T104" s="4">
        <v>62546933301</v>
      </c>
      <c r="U104" s="4">
        <v>0</v>
      </c>
      <c r="V104" s="4">
        <v>0</v>
      </c>
      <c r="W104" s="4">
        <v>0</v>
      </c>
      <c r="X104" s="4">
        <v>0</v>
      </c>
      <c r="Y104" s="4">
        <v>1560.63</v>
      </c>
      <c r="Z104" s="4">
        <v>1560.63</v>
      </c>
      <c r="AA104" s="4" t="s">
        <v>35</v>
      </c>
      <c r="AB104" s="4" t="s">
        <v>36</v>
      </c>
      <c r="AC104" s="4" t="s">
        <v>120</v>
      </c>
    </row>
    <row r="105" spans="1:29" x14ac:dyDescent="0.3">
      <c r="A105" s="4" t="s">
        <v>29</v>
      </c>
      <c r="B105" s="4">
        <v>4793328</v>
      </c>
      <c r="C105" s="4">
        <v>4793328</v>
      </c>
      <c r="D105" s="4" t="s">
        <v>196</v>
      </c>
      <c r="E105" s="4" t="s">
        <v>63</v>
      </c>
      <c r="F105" s="4" t="s">
        <v>234</v>
      </c>
      <c r="G105" s="5">
        <v>26069</v>
      </c>
      <c r="H105" s="4">
        <f>DAY(G105)</f>
        <v>16</v>
      </c>
      <c r="I105" s="4">
        <f>MONTH(G105)</f>
        <v>5</v>
      </c>
      <c r="J105" s="4">
        <f>YEAR(G105)</f>
        <v>1971</v>
      </c>
      <c r="K105" s="6">
        <v>7105161100110</v>
      </c>
      <c r="L105" s="5">
        <v>40544</v>
      </c>
      <c r="M105" s="5">
        <v>45474</v>
      </c>
      <c r="N105" s="5">
        <v>45838</v>
      </c>
      <c r="O105" s="4">
        <v>3900.53</v>
      </c>
      <c r="P105" s="4">
        <v>1</v>
      </c>
      <c r="Q105" s="4" t="s">
        <v>33</v>
      </c>
      <c r="R105" s="4" t="s">
        <v>34</v>
      </c>
      <c r="S105" s="4">
        <v>90001</v>
      </c>
      <c r="T105" s="4">
        <v>51000918559</v>
      </c>
      <c r="U105" s="4">
        <v>0</v>
      </c>
      <c r="V105" s="4">
        <v>0</v>
      </c>
      <c r="W105" s="4">
        <v>0</v>
      </c>
      <c r="X105" s="4">
        <v>96.77</v>
      </c>
      <c r="Y105" s="4">
        <v>3900.53</v>
      </c>
      <c r="Z105" s="4">
        <v>3803.76</v>
      </c>
      <c r="AA105" s="4" t="s">
        <v>35</v>
      </c>
    </row>
    <row r="106" spans="1:29" x14ac:dyDescent="0.3">
      <c r="A106" s="4" t="s">
        <v>29</v>
      </c>
      <c r="B106" s="4">
        <v>4794109</v>
      </c>
      <c r="C106" s="4">
        <v>4794109</v>
      </c>
      <c r="D106" s="4" t="s">
        <v>235</v>
      </c>
      <c r="E106" s="4" t="s">
        <v>41</v>
      </c>
      <c r="F106" s="4" t="s">
        <v>236</v>
      </c>
      <c r="G106" s="5">
        <v>26441</v>
      </c>
      <c r="H106" s="4">
        <f>DAY(G106)</f>
        <v>22</v>
      </c>
      <c r="I106" s="4">
        <f>MONTH(G106)</f>
        <v>5</v>
      </c>
      <c r="J106" s="4">
        <f>YEAR(G106)</f>
        <v>1972</v>
      </c>
      <c r="K106" s="6">
        <v>7205221100082</v>
      </c>
      <c r="L106" s="5">
        <v>43983</v>
      </c>
      <c r="M106" s="5">
        <v>45474</v>
      </c>
      <c r="N106" s="5">
        <v>45838</v>
      </c>
      <c r="O106" s="4">
        <v>5032.8999999999996</v>
      </c>
      <c r="P106" s="4">
        <v>1</v>
      </c>
      <c r="Q106" s="4" t="s">
        <v>33</v>
      </c>
      <c r="R106" s="4" t="s">
        <v>34</v>
      </c>
      <c r="S106" s="4">
        <v>90001</v>
      </c>
      <c r="T106" s="4">
        <v>51000613316</v>
      </c>
      <c r="U106" s="4">
        <v>0</v>
      </c>
      <c r="V106" s="4">
        <v>0</v>
      </c>
      <c r="W106" s="4">
        <v>0</v>
      </c>
      <c r="X106" s="4">
        <v>323.24</v>
      </c>
      <c r="Y106" s="4">
        <v>5032.8999999999996</v>
      </c>
      <c r="Z106" s="4">
        <v>4709.66</v>
      </c>
      <c r="AA106" s="4" t="s">
        <v>35</v>
      </c>
    </row>
    <row r="107" spans="1:29" x14ac:dyDescent="0.3">
      <c r="A107" s="4" t="s">
        <v>29</v>
      </c>
      <c r="B107" s="4">
        <v>4847135</v>
      </c>
      <c r="C107" s="4">
        <v>4847135</v>
      </c>
      <c r="D107" s="4" t="s">
        <v>237</v>
      </c>
      <c r="E107" s="4" t="s">
        <v>59</v>
      </c>
      <c r="F107" s="4" t="s">
        <v>238</v>
      </c>
      <c r="G107" s="5">
        <v>26078</v>
      </c>
      <c r="H107" s="4">
        <f>DAY(G107)</f>
        <v>25</v>
      </c>
      <c r="I107" s="4">
        <f>MONTH(G107)</f>
        <v>5</v>
      </c>
      <c r="J107" s="4">
        <f>YEAR(G107)</f>
        <v>1971</v>
      </c>
      <c r="K107" s="6">
        <v>7105256100033</v>
      </c>
      <c r="L107" s="5">
        <v>42522</v>
      </c>
      <c r="M107" s="5">
        <v>45474</v>
      </c>
      <c r="N107" s="5">
        <v>45838</v>
      </c>
      <c r="O107" s="4">
        <v>1560.63</v>
      </c>
      <c r="P107" s="4">
        <v>1</v>
      </c>
      <c r="Q107" s="4" t="s">
        <v>33</v>
      </c>
      <c r="R107" s="4" t="s">
        <v>34</v>
      </c>
      <c r="S107" s="4">
        <v>280164</v>
      </c>
      <c r="T107" s="4">
        <v>62571720319</v>
      </c>
      <c r="U107" s="4">
        <v>0</v>
      </c>
      <c r="V107" s="4">
        <v>0</v>
      </c>
      <c r="W107" s="4">
        <v>0</v>
      </c>
      <c r="X107" s="4">
        <v>0</v>
      </c>
      <c r="Y107" s="4">
        <v>1560.63</v>
      </c>
      <c r="Z107" s="4">
        <v>1560.63</v>
      </c>
      <c r="AA107" s="4" t="s">
        <v>35</v>
      </c>
      <c r="AC107" s="4" t="s">
        <v>108</v>
      </c>
    </row>
    <row r="108" spans="1:29" x14ac:dyDescent="0.3">
      <c r="A108" s="4" t="s">
        <v>29</v>
      </c>
      <c r="B108" s="4">
        <v>4873217</v>
      </c>
      <c r="C108" s="4">
        <v>4873217</v>
      </c>
      <c r="D108" s="4" t="s">
        <v>239</v>
      </c>
      <c r="E108" s="4" t="s">
        <v>54</v>
      </c>
      <c r="F108" s="4" t="s">
        <v>240</v>
      </c>
      <c r="G108" s="5">
        <v>27162</v>
      </c>
      <c r="H108" s="4">
        <f>DAY(G108)</f>
        <v>13</v>
      </c>
      <c r="I108" s="4">
        <f>MONTH(G108)</f>
        <v>5</v>
      </c>
      <c r="J108" s="4">
        <f>YEAR(G108)</f>
        <v>1974</v>
      </c>
      <c r="K108" s="6">
        <v>7405136100173</v>
      </c>
      <c r="L108" s="5">
        <v>42767</v>
      </c>
      <c r="M108" s="5">
        <v>45474</v>
      </c>
      <c r="N108" s="5">
        <v>45838</v>
      </c>
      <c r="O108" s="4">
        <v>4482.26</v>
      </c>
      <c r="P108" s="4">
        <v>1</v>
      </c>
      <c r="Q108" s="4" t="s">
        <v>33</v>
      </c>
      <c r="R108" s="4" t="s">
        <v>34</v>
      </c>
      <c r="S108" s="4">
        <v>90001</v>
      </c>
      <c r="T108" s="4">
        <v>51000017187</v>
      </c>
      <c r="U108" s="4">
        <v>0</v>
      </c>
      <c r="V108" s="4">
        <v>0</v>
      </c>
      <c r="W108" s="4">
        <v>0</v>
      </c>
      <c r="X108" s="4">
        <v>213.11</v>
      </c>
      <c r="Y108" s="4">
        <v>4482.26</v>
      </c>
      <c r="Z108" s="4">
        <v>4269.1499999999996</v>
      </c>
      <c r="AA108" s="4" t="s">
        <v>35</v>
      </c>
      <c r="AB108" s="4" t="s">
        <v>36</v>
      </c>
      <c r="AC108" s="4" t="s">
        <v>108</v>
      </c>
    </row>
    <row r="109" spans="1:29" x14ac:dyDescent="0.3">
      <c r="A109" s="4" t="s">
        <v>29</v>
      </c>
      <c r="B109" s="4">
        <v>5031467</v>
      </c>
      <c r="C109" s="4">
        <v>5031467</v>
      </c>
      <c r="D109" s="4" t="s">
        <v>241</v>
      </c>
      <c r="E109" s="4" t="s">
        <v>146</v>
      </c>
      <c r="F109" s="4" t="s">
        <v>242</v>
      </c>
      <c r="G109" s="5">
        <v>19854</v>
      </c>
      <c r="H109" s="4">
        <f>DAY(G109)</f>
        <v>10</v>
      </c>
      <c r="I109" s="4">
        <f>MONTH(G109)</f>
        <v>5</v>
      </c>
      <c r="J109" s="4">
        <f>YEAR(G109)</f>
        <v>1954</v>
      </c>
      <c r="K109" s="6">
        <v>431401005031467</v>
      </c>
      <c r="L109" s="5">
        <v>41791</v>
      </c>
      <c r="M109" s="5">
        <v>45474</v>
      </c>
      <c r="N109" s="5">
        <v>45838</v>
      </c>
      <c r="O109" s="4">
        <v>1655.86</v>
      </c>
      <c r="P109" s="4">
        <v>1</v>
      </c>
      <c r="Q109" s="4" t="s">
        <v>33</v>
      </c>
      <c r="R109" s="4" t="s">
        <v>34</v>
      </c>
      <c r="S109" s="4">
        <v>90001</v>
      </c>
      <c r="T109" s="4">
        <v>51000596055</v>
      </c>
      <c r="U109" s="4">
        <v>0</v>
      </c>
      <c r="V109" s="4">
        <v>0</v>
      </c>
      <c r="W109" s="4">
        <v>0</v>
      </c>
      <c r="X109" s="4">
        <v>0</v>
      </c>
      <c r="Y109" s="4">
        <v>1655.86</v>
      </c>
      <c r="Z109" s="4">
        <v>1655.86</v>
      </c>
      <c r="AA109" s="4" t="s">
        <v>35</v>
      </c>
      <c r="AB109" s="4" t="s">
        <v>36</v>
      </c>
    </row>
    <row r="110" spans="1:29" x14ac:dyDescent="0.3">
      <c r="A110" s="4" t="s">
        <v>29</v>
      </c>
      <c r="B110" s="4">
        <v>5044287</v>
      </c>
      <c r="C110" s="4">
        <v>5044287</v>
      </c>
      <c r="D110" s="4" t="s">
        <v>125</v>
      </c>
      <c r="E110" s="4" t="s">
        <v>38</v>
      </c>
      <c r="F110" s="4" t="s">
        <v>243</v>
      </c>
      <c r="G110" s="5">
        <v>17671</v>
      </c>
      <c r="H110" s="4">
        <f>DAY(G110)</f>
        <v>18</v>
      </c>
      <c r="I110" s="4">
        <f>MONTH(G110)</f>
        <v>5</v>
      </c>
      <c r="J110" s="4">
        <f>YEAR(G110)</f>
        <v>1948</v>
      </c>
      <c r="K110" s="6">
        <v>4804106100101</v>
      </c>
      <c r="L110" s="5">
        <v>39600</v>
      </c>
      <c r="M110" s="5">
        <v>45474</v>
      </c>
      <c r="N110" s="5">
        <v>45838</v>
      </c>
      <c r="O110" s="4">
        <v>1920.57</v>
      </c>
      <c r="P110" s="4">
        <v>1</v>
      </c>
      <c r="Q110" s="4" t="s">
        <v>33</v>
      </c>
      <c r="R110" s="4" t="s">
        <v>34</v>
      </c>
      <c r="S110" s="4">
        <v>90001</v>
      </c>
      <c r="T110" s="4">
        <v>51000181122</v>
      </c>
      <c r="U110" s="4">
        <v>0</v>
      </c>
      <c r="V110" s="4">
        <v>0</v>
      </c>
      <c r="W110" s="4">
        <v>0</v>
      </c>
      <c r="X110" s="4">
        <v>0</v>
      </c>
      <c r="Y110" s="4">
        <v>1920.57</v>
      </c>
      <c r="Z110" s="4">
        <v>1920.57</v>
      </c>
      <c r="AA110" s="4" t="s">
        <v>35</v>
      </c>
      <c r="AB110" s="4" t="s">
        <v>36</v>
      </c>
    </row>
    <row r="111" spans="1:29" x14ac:dyDescent="0.3">
      <c r="A111" s="4" t="s">
        <v>29</v>
      </c>
      <c r="B111" s="4">
        <v>5107360</v>
      </c>
      <c r="C111" s="4">
        <v>5107360</v>
      </c>
      <c r="D111" s="4" t="s">
        <v>244</v>
      </c>
      <c r="E111" s="4" t="s">
        <v>38</v>
      </c>
      <c r="F111" s="4" t="s">
        <v>245</v>
      </c>
      <c r="G111" s="5">
        <v>22771</v>
      </c>
      <c r="H111" s="4">
        <f>DAY(G111)</f>
        <v>5</v>
      </c>
      <c r="I111" s="4">
        <f>MONTH(G111)</f>
        <v>5</v>
      </c>
      <c r="J111" s="4">
        <f>YEAR(G111)</f>
        <v>1962</v>
      </c>
      <c r="K111" s="6">
        <v>6205106100026</v>
      </c>
      <c r="L111" s="5">
        <v>44713</v>
      </c>
      <c r="M111" s="5">
        <v>45474</v>
      </c>
      <c r="N111" s="5">
        <v>45838</v>
      </c>
      <c r="O111" s="4">
        <v>9010.5400000000009</v>
      </c>
      <c r="P111" s="4">
        <v>1</v>
      </c>
      <c r="Q111" s="4" t="s">
        <v>33</v>
      </c>
      <c r="R111" s="4" t="s">
        <v>34</v>
      </c>
      <c r="S111" s="4">
        <v>90001</v>
      </c>
      <c r="T111" s="4">
        <v>51000556827</v>
      </c>
      <c r="U111" s="4">
        <v>0</v>
      </c>
      <c r="V111" s="4">
        <v>0</v>
      </c>
      <c r="W111" s="4">
        <v>0</v>
      </c>
      <c r="X111" s="4">
        <v>927.63</v>
      </c>
      <c r="Y111" s="4">
        <v>9010.5400000000009</v>
      </c>
      <c r="Z111" s="4">
        <v>8082.91</v>
      </c>
      <c r="AA111" s="4" t="s">
        <v>35</v>
      </c>
    </row>
    <row r="112" spans="1:29" x14ac:dyDescent="0.3">
      <c r="A112" s="4" t="s">
        <v>29</v>
      </c>
      <c r="B112" s="4">
        <v>5112405</v>
      </c>
      <c r="C112" s="4">
        <v>5112405</v>
      </c>
      <c r="D112" s="4" t="s">
        <v>37</v>
      </c>
      <c r="E112" s="4" t="s">
        <v>59</v>
      </c>
      <c r="F112" s="4" t="s">
        <v>246</v>
      </c>
      <c r="G112" s="5">
        <v>22037</v>
      </c>
      <c r="H112" s="4">
        <f>DAY(G112)</f>
        <v>1</v>
      </c>
      <c r="I112" s="4">
        <f>MONTH(G112)</f>
        <v>5</v>
      </c>
      <c r="J112" s="4">
        <f>YEAR(G112)</f>
        <v>1960</v>
      </c>
      <c r="K112" s="6">
        <v>6105146100012</v>
      </c>
      <c r="L112" s="5">
        <v>43952</v>
      </c>
      <c r="M112" s="5">
        <v>45474</v>
      </c>
      <c r="N112" s="5">
        <v>45838</v>
      </c>
      <c r="O112" s="4">
        <v>19948.68</v>
      </c>
      <c r="P112" s="4">
        <v>1</v>
      </c>
      <c r="Q112" s="4" t="s">
        <v>33</v>
      </c>
      <c r="R112" s="4" t="s">
        <v>34</v>
      </c>
      <c r="S112" s="4">
        <v>663164</v>
      </c>
      <c r="T112" s="4">
        <v>9110003033859</v>
      </c>
      <c r="U112" s="4">
        <v>1220</v>
      </c>
      <c r="V112" s="4">
        <v>0</v>
      </c>
      <c r="W112" s="4">
        <v>0</v>
      </c>
      <c r="X112" s="4">
        <v>4133.0600000000004</v>
      </c>
      <c r="Y112" s="4">
        <v>19948.68</v>
      </c>
      <c r="Z112" s="4">
        <v>14595.62</v>
      </c>
      <c r="AA112" s="4" t="s">
        <v>35</v>
      </c>
    </row>
    <row r="113" spans="1:29" x14ac:dyDescent="0.3">
      <c r="A113" s="4" t="s">
        <v>29</v>
      </c>
      <c r="B113" s="4">
        <v>5129274</v>
      </c>
      <c r="C113" s="4">
        <v>5129274</v>
      </c>
      <c r="D113" s="4" t="s">
        <v>37</v>
      </c>
      <c r="E113" s="4" t="s">
        <v>51</v>
      </c>
      <c r="F113" s="4" t="s">
        <v>247</v>
      </c>
      <c r="G113" s="5">
        <v>22782</v>
      </c>
      <c r="H113" s="4">
        <f>DAY(G113)</f>
        <v>16</v>
      </c>
      <c r="I113" s="4">
        <f>MONTH(G113)</f>
        <v>5</v>
      </c>
      <c r="J113" s="4">
        <f>YEAR(G113)</f>
        <v>1962</v>
      </c>
      <c r="K113" s="6">
        <v>6205166100015</v>
      </c>
      <c r="L113" s="5">
        <v>44713</v>
      </c>
      <c r="M113" s="5">
        <v>45474</v>
      </c>
      <c r="N113" s="5">
        <v>45838</v>
      </c>
      <c r="O113" s="4">
        <v>5461.39</v>
      </c>
      <c r="P113" s="4">
        <v>1</v>
      </c>
      <c r="Q113" s="4" t="s">
        <v>33</v>
      </c>
      <c r="R113" s="4" t="s">
        <v>34</v>
      </c>
      <c r="S113" s="4">
        <v>90001</v>
      </c>
      <c r="T113" s="4">
        <v>51000582933</v>
      </c>
      <c r="U113" s="4">
        <v>0</v>
      </c>
      <c r="V113" s="4">
        <v>0</v>
      </c>
      <c r="W113" s="4">
        <v>0</v>
      </c>
      <c r="X113" s="4">
        <v>183.94</v>
      </c>
      <c r="Y113" s="4">
        <v>5461.39</v>
      </c>
      <c r="Z113" s="4">
        <v>5277.45</v>
      </c>
      <c r="AA113" s="4" t="s">
        <v>35</v>
      </c>
    </row>
    <row r="114" spans="1:29" x14ac:dyDescent="0.3">
      <c r="A114" s="4" t="s">
        <v>29</v>
      </c>
      <c r="B114" s="4">
        <v>5157451</v>
      </c>
      <c r="C114" s="4">
        <v>5157451</v>
      </c>
      <c r="D114" s="4" t="s">
        <v>145</v>
      </c>
      <c r="E114" s="4" t="s">
        <v>248</v>
      </c>
      <c r="F114" s="4" t="s">
        <v>249</v>
      </c>
      <c r="G114" s="5">
        <v>23498</v>
      </c>
      <c r="H114" s="4">
        <f>DAY(G114)</f>
        <v>1</v>
      </c>
      <c r="I114" s="4">
        <f>MONTH(G114)</f>
        <v>5</v>
      </c>
      <c r="J114" s="4">
        <f>YEAR(G114)</f>
        <v>1964</v>
      </c>
      <c r="K114" s="6">
        <v>6406016100029</v>
      </c>
      <c r="L114" s="5">
        <v>45413</v>
      </c>
      <c r="M114" s="5">
        <v>45444</v>
      </c>
      <c r="N114" s="5">
        <v>45838</v>
      </c>
      <c r="O114" s="4">
        <v>11814.06</v>
      </c>
      <c r="P114" s="4">
        <v>1</v>
      </c>
      <c r="Q114" s="4" t="s">
        <v>33</v>
      </c>
      <c r="R114" s="4" t="s">
        <v>34</v>
      </c>
      <c r="S114" s="4">
        <v>280164</v>
      </c>
      <c r="T114" s="4">
        <v>57731151032</v>
      </c>
      <c r="U114" s="4">
        <v>0</v>
      </c>
      <c r="V114" s="4">
        <v>0</v>
      </c>
      <c r="W114" s="4">
        <v>0</v>
      </c>
      <c r="X114" s="4">
        <v>1628.51</v>
      </c>
      <c r="Y114" s="4">
        <v>11814.06</v>
      </c>
      <c r="Z114" s="4">
        <v>10185.549999999999</v>
      </c>
      <c r="AA114" s="4" t="s">
        <v>35</v>
      </c>
      <c r="AB114" s="4" t="s">
        <v>36</v>
      </c>
    </row>
    <row r="115" spans="1:29" x14ac:dyDescent="0.3">
      <c r="A115" s="4" t="s">
        <v>29</v>
      </c>
      <c r="B115" s="4">
        <v>5222229</v>
      </c>
      <c r="C115" s="4">
        <v>5222229</v>
      </c>
      <c r="D115" s="4" t="s">
        <v>168</v>
      </c>
      <c r="E115" s="4" t="s">
        <v>142</v>
      </c>
      <c r="F115" s="4" t="s">
        <v>250</v>
      </c>
      <c r="G115" s="5">
        <v>25706</v>
      </c>
      <c r="H115" s="4">
        <f>DAY(G115)</f>
        <v>18</v>
      </c>
      <c r="I115" s="4">
        <f>MONTH(G115)</f>
        <v>5</v>
      </c>
      <c r="J115" s="4">
        <f>YEAR(G115)</f>
        <v>1970</v>
      </c>
      <c r="K115" s="6">
        <v>7005186100196</v>
      </c>
      <c r="L115" s="5">
        <v>42156</v>
      </c>
      <c r="M115" s="5">
        <v>45474</v>
      </c>
      <c r="N115" s="5">
        <v>45838</v>
      </c>
      <c r="O115" s="4">
        <v>1560.63</v>
      </c>
      <c r="P115" s="4">
        <v>1</v>
      </c>
      <c r="Q115" s="4" t="s">
        <v>33</v>
      </c>
      <c r="R115" s="4" t="s">
        <v>34</v>
      </c>
      <c r="S115" s="4">
        <v>281064</v>
      </c>
      <c r="T115" s="4">
        <v>62223850216</v>
      </c>
      <c r="U115" s="4">
        <v>0</v>
      </c>
      <c r="V115" s="4">
        <v>0</v>
      </c>
      <c r="W115" s="4">
        <v>0</v>
      </c>
      <c r="X115" s="4">
        <v>0</v>
      </c>
      <c r="Y115" s="4">
        <v>1560.63</v>
      </c>
      <c r="Z115" s="4">
        <v>1560.63</v>
      </c>
      <c r="AA115" s="4" t="s">
        <v>35</v>
      </c>
      <c r="AC115" s="4" t="s">
        <v>120</v>
      </c>
    </row>
    <row r="116" spans="1:29" x14ac:dyDescent="0.3">
      <c r="A116" s="4" t="s">
        <v>29</v>
      </c>
      <c r="B116" s="4">
        <v>5238303</v>
      </c>
      <c r="C116" s="4">
        <v>5238303</v>
      </c>
      <c r="D116" s="4" t="s">
        <v>133</v>
      </c>
      <c r="E116" s="4" t="s">
        <v>146</v>
      </c>
      <c r="F116" s="4" t="s">
        <v>251</v>
      </c>
      <c r="G116" s="5">
        <v>27153</v>
      </c>
      <c r="H116" s="4">
        <f>DAY(G116)</f>
        <v>4</v>
      </c>
      <c r="I116" s="4">
        <f>MONTH(G116)</f>
        <v>5</v>
      </c>
      <c r="J116" s="4">
        <f>YEAR(G116)</f>
        <v>1974</v>
      </c>
      <c r="K116" s="6">
        <v>7405046100016</v>
      </c>
      <c r="L116" s="5">
        <v>40544</v>
      </c>
      <c r="M116" s="5">
        <v>45474</v>
      </c>
      <c r="N116" s="5">
        <v>45838</v>
      </c>
      <c r="O116" s="4">
        <v>4312.2</v>
      </c>
      <c r="P116" s="4">
        <v>1</v>
      </c>
      <c r="Q116" s="4" t="s">
        <v>33</v>
      </c>
      <c r="R116" s="4" t="s">
        <v>34</v>
      </c>
      <c r="S116" s="4">
        <v>282064</v>
      </c>
      <c r="T116" s="4">
        <v>57731156553</v>
      </c>
      <c r="U116" s="4">
        <v>0</v>
      </c>
      <c r="V116" s="4">
        <v>0</v>
      </c>
      <c r="W116" s="4">
        <v>0</v>
      </c>
      <c r="X116" s="4">
        <v>179.1</v>
      </c>
      <c r="Y116" s="4">
        <v>4312.2</v>
      </c>
      <c r="Z116" s="4">
        <v>4133.1000000000004</v>
      </c>
      <c r="AA116" s="4" t="s">
        <v>35</v>
      </c>
    </row>
    <row r="117" spans="1:29" x14ac:dyDescent="0.3">
      <c r="A117" s="4" t="s">
        <v>29</v>
      </c>
      <c r="B117" s="4">
        <v>5249372</v>
      </c>
      <c r="C117" s="4">
        <v>5249372</v>
      </c>
      <c r="D117" s="4" t="s">
        <v>150</v>
      </c>
      <c r="E117" s="4" t="s">
        <v>142</v>
      </c>
      <c r="F117" s="4" t="s">
        <v>252</v>
      </c>
      <c r="G117" s="5">
        <v>27519</v>
      </c>
      <c r="H117" s="4">
        <f>DAY(G117)</f>
        <v>5</v>
      </c>
      <c r="I117" s="4">
        <f>MONTH(G117)</f>
        <v>5</v>
      </c>
      <c r="J117" s="4">
        <f>YEAR(G117)</f>
        <v>1975</v>
      </c>
      <c r="K117" s="6">
        <v>432301005249372</v>
      </c>
      <c r="L117" s="5">
        <v>44013</v>
      </c>
      <c r="M117" s="5">
        <v>45474</v>
      </c>
      <c r="N117" s="5">
        <v>45838</v>
      </c>
      <c r="O117" s="4">
        <v>3046.31</v>
      </c>
      <c r="P117" s="4">
        <v>1</v>
      </c>
      <c r="Q117" s="4" t="s">
        <v>33</v>
      </c>
      <c r="R117" s="4" t="s">
        <v>34</v>
      </c>
      <c r="S117" s="4">
        <v>280164</v>
      </c>
      <c r="T117" s="4">
        <v>62314805881</v>
      </c>
      <c r="U117" s="4">
        <v>0</v>
      </c>
      <c r="V117" s="4">
        <v>0</v>
      </c>
      <c r="W117" s="4">
        <v>0</v>
      </c>
      <c r="X117" s="4">
        <v>0</v>
      </c>
      <c r="Y117" s="4">
        <v>3046.31</v>
      </c>
      <c r="Z117" s="4">
        <v>3046.31</v>
      </c>
      <c r="AA117" s="4" t="s">
        <v>35</v>
      </c>
    </row>
    <row r="118" spans="1:29" x14ac:dyDescent="0.3">
      <c r="A118" s="4" t="s">
        <v>29</v>
      </c>
      <c r="B118" s="4">
        <v>5263879</v>
      </c>
      <c r="C118" s="4">
        <v>5263879</v>
      </c>
      <c r="D118" s="4" t="s">
        <v>44</v>
      </c>
      <c r="E118" s="4" t="s">
        <v>63</v>
      </c>
      <c r="F118" s="4" t="s">
        <v>253</v>
      </c>
      <c r="G118" s="5">
        <v>29005</v>
      </c>
      <c r="H118" s="4">
        <f>DAY(G118)</f>
        <v>30</v>
      </c>
      <c r="I118" s="4">
        <f>MONTH(G118)</f>
        <v>5</v>
      </c>
      <c r="J118" s="4">
        <f>YEAR(G118)</f>
        <v>1979</v>
      </c>
      <c r="K118" s="6">
        <v>7905306100150</v>
      </c>
      <c r="L118" s="5">
        <v>45444</v>
      </c>
      <c r="M118" s="5">
        <v>45444</v>
      </c>
      <c r="N118" s="5">
        <v>45838</v>
      </c>
      <c r="O118" s="4">
        <v>1905.38</v>
      </c>
      <c r="P118" s="4">
        <v>1</v>
      </c>
      <c r="Q118" s="4" t="s">
        <v>33</v>
      </c>
      <c r="R118" s="4" t="s">
        <v>34</v>
      </c>
      <c r="S118" s="4">
        <v>360164</v>
      </c>
      <c r="T118" s="4">
        <v>11990397556</v>
      </c>
      <c r="U118" s="4">
        <v>0</v>
      </c>
      <c r="V118" s="4">
        <v>0</v>
      </c>
      <c r="W118" s="4">
        <v>0</v>
      </c>
      <c r="X118" s="4">
        <v>0</v>
      </c>
      <c r="Y118" s="4">
        <v>1905.38</v>
      </c>
      <c r="Z118" s="4">
        <v>1905.38</v>
      </c>
      <c r="AA118" s="4" t="s">
        <v>35</v>
      </c>
    </row>
    <row r="119" spans="1:29" x14ac:dyDescent="0.3">
      <c r="A119" s="4" t="s">
        <v>29</v>
      </c>
      <c r="B119" s="4">
        <v>6099833</v>
      </c>
      <c r="C119" s="4">
        <v>6099833</v>
      </c>
      <c r="D119" s="4" t="s">
        <v>37</v>
      </c>
      <c r="E119" s="4" t="s">
        <v>51</v>
      </c>
      <c r="F119" s="4" t="s">
        <v>254</v>
      </c>
      <c r="G119" s="5">
        <v>18767</v>
      </c>
      <c r="H119" s="4">
        <f>DAY(G119)</f>
        <v>19</v>
      </c>
      <c r="I119" s="4">
        <f>MONTH(G119)</f>
        <v>5</v>
      </c>
      <c r="J119" s="4">
        <f>YEAR(G119)</f>
        <v>1951</v>
      </c>
      <c r="K119" s="6">
        <v>5105156100044</v>
      </c>
      <c r="L119" s="5">
        <v>40695</v>
      </c>
      <c r="M119" s="5">
        <v>45474</v>
      </c>
      <c r="N119" s="5">
        <v>45838</v>
      </c>
      <c r="O119" s="4">
        <v>13348.64</v>
      </c>
      <c r="P119" s="4">
        <v>1</v>
      </c>
      <c r="Q119" s="4" t="s">
        <v>33</v>
      </c>
      <c r="R119" s="4" t="s">
        <v>34</v>
      </c>
      <c r="S119" s="4">
        <v>770001</v>
      </c>
      <c r="T119" s="4">
        <v>1040111419101</v>
      </c>
      <c r="U119" s="4">
        <v>0</v>
      </c>
      <c r="V119" s="4">
        <v>0</v>
      </c>
      <c r="W119" s="4">
        <v>0</v>
      </c>
      <c r="X119" s="4">
        <v>2054.59</v>
      </c>
      <c r="Y119" s="4">
        <v>13348.64</v>
      </c>
      <c r="Z119" s="4">
        <v>11294.05</v>
      </c>
      <c r="AA119" s="4" t="s">
        <v>35</v>
      </c>
      <c r="AB119" s="4" t="s">
        <v>36</v>
      </c>
    </row>
    <row r="120" spans="1:29" x14ac:dyDescent="0.3">
      <c r="A120" s="4" t="s">
        <v>29</v>
      </c>
      <c r="B120" s="4">
        <v>6121145</v>
      </c>
      <c r="C120" s="4">
        <v>6121145</v>
      </c>
      <c r="D120" s="4" t="s">
        <v>255</v>
      </c>
      <c r="E120" s="4" t="s">
        <v>99</v>
      </c>
      <c r="F120" s="4" t="s">
        <v>193</v>
      </c>
      <c r="G120" s="5">
        <v>16570</v>
      </c>
      <c r="H120" s="4">
        <f>DAY(G120)</f>
        <v>13</v>
      </c>
      <c r="I120" s="4">
        <f>MONTH(G120)</f>
        <v>5</v>
      </c>
      <c r="J120" s="4">
        <f>YEAR(G120)</f>
        <v>1945</v>
      </c>
      <c r="K120" s="6">
        <v>4504131100098</v>
      </c>
      <c r="L120" s="5">
        <v>39022</v>
      </c>
      <c r="M120" s="5">
        <v>45474</v>
      </c>
      <c r="N120" s="5">
        <v>45838</v>
      </c>
      <c r="O120" s="4">
        <v>14952.98</v>
      </c>
      <c r="P120" s="4">
        <v>1</v>
      </c>
      <c r="Q120" s="4" t="s">
        <v>33</v>
      </c>
      <c r="R120" s="4" t="s">
        <v>34</v>
      </c>
      <c r="S120" s="4">
        <v>770003</v>
      </c>
      <c r="T120" s="4">
        <v>77012911720</v>
      </c>
      <c r="U120" s="4">
        <v>1370</v>
      </c>
      <c r="V120" s="4">
        <v>0</v>
      </c>
      <c r="W120" s="4">
        <v>0</v>
      </c>
      <c r="X120" s="4">
        <v>2535.89</v>
      </c>
      <c r="Y120" s="4">
        <v>14952.98</v>
      </c>
      <c r="Z120" s="4">
        <v>11047.09</v>
      </c>
      <c r="AA120" s="4" t="s">
        <v>35</v>
      </c>
    </row>
    <row r="121" spans="1:29" x14ac:dyDescent="0.3">
      <c r="A121" s="4" t="s">
        <v>29</v>
      </c>
      <c r="B121" s="4">
        <v>6131539</v>
      </c>
      <c r="C121" s="4">
        <v>6131539</v>
      </c>
      <c r="D121" s="4" t="s">
        <v>74</v>
      </c>
      <c r="E121" s="4" t="s">
        <v>63</v>
      </c>
      <c r="F121" s="4" t="s">
        <v>256</v>
      </c>
      <c r="G121" s="5">
        <v>18407</v>
      </c>
      <c r="H121" s="4">
        <f>DAY(G121)</f>
        <v>24</v>
      </c>
      <c r="I121" s="4">
        <f>MONTH(G121)</f>
        <v>5</v>
      </c>
      <c r="J121" s="4">
        <f>YEAR(G121)</f>
        <v>1950</v>
      </c>
      <c r="K121" s="6">
        <v>4505241100068</v>
      </c>
      <c r="L121" s="5">
        <v>40330</v>
      </c>
      <c r="M121" s="5">
        <v>45474</v>
      </c>
      <c r="N121" s="5">
        <v>45838</v>
      </c>
      <c r="O121" s="4">
        <v>14805.06</v>
      </c>
      <c r="P121" s="4">
        <v>1</v>
      </c>
      <c r="Q121" s="4" t="s">
        <v>33</v>
      </c>
      <c r="R121" s="4" t="s">
        <v>34</v>
      </c>
      <c r="S121" s="4">
        <v>660964</v>
      </c>
      <c r="T121" s="4">
        <v>9110000835059</v>
      </c>
      <c r="U121" s="4">
        <v>500</v>
      </c>
      <c r="V121" s="4">
        <v>0</v>
      </c>
      <c r="W121" s="4">
        <v>0</v>
      </c>
      <c r="X121" s="4">
        <v>2491.5100000000002</v>
      </c>
      <c r="Y121" s="4">
        <v>14805.06</v>
      </c>
      <c r="Z121" s="4">
        <v>11813.55</v>
      </c>
      <c r="AA121" s="4" t="s">
        <v>35</v>
      </c>
    </row>
    <row r="122" spans="1:29" x14ac:dyDescent="0.3">
      <c r="A122" s="4" t="s">
        <v>29</v>
      </c>
      <c r="B122" s="4">
        <v>6138457</v>
      </c>
      <c r="C122" s="4">
        <v>6138457</v>
      </c>
      <c r="D122" s="4" t="s">
        <v>145</v>
      </c>
      <c r="E122" s="4" t="s">
        <v>38</v>
      </c>
      <c r="F122" s="4" t="s">
        <v>257</v>
      </c>
      <c r="G122" s="5">
        <v>18761</v>
      </c>
      <c r="H122" s="4">
        <f>DAY(G122)</f>
        <v>13</v>
      </c>
      <c r="I122" s="4">
        <f>MONTH(G122)</f>
        <v>5</v>
      </c>
      <c r="J122" s="4">
        <f>YEAR(G122)</f>
        <v>1951</v>
      </c>
      <c r="K122" s="6">
        <v>5105136100031</v>
      </c>
      <c r="L122" s="5">
        <v>40695</v>
      </c>
      <c r="M122" s="5">
        <v>45474</v>
      </c>
      <c r="N122" s="5">
        <v>45838</v>
      </c>
      <c r="O122" s="4">
        <v>13274.58</v>
      </c>
      <c r="P122" s="4">
        <v>1</v>
      </c>
      <c r="Q122" s="4" t="s">
        <v>33</v>
      </c>
      <c r="R122" s="4" t="s">
        <v>34</v>
      </c>
      <c r="S122" s="4">
        <v>770001</v>
      </c>
      <c r="T122" s="4">
        <v>1040115107701</v>
      </c>
      <c r="U122" s="4">
        <v>20</v>
      </c>
      <c r="V122" s="4">
        <v>0</v>
      </c>
      <c r="W122" s="4">
        <v>0</v>
      </c>
      <c r="X122" s="4">
        <v>2032.37</v>
      </c>
      <c r="Y122" s="4">
        <v>13274.58</v>
      </c>
      <c r="Z122" s="4">
        <v>11222.21</v>
      </c>
      <c r="AA122" s="4" t="s">
        <v>35</v>
      </c>
    </row>
    <row r="123" spans="1:29" x14ac:dyDescent="0.3">
      <c r="A123" s="4" t="s">
        <v>29</v>
      </c>
      <c r="B123" s="4">
        <v>6140599</v>
      </c>
      <c r="C123" s="4">
        <v>6140599</v>
      </c>
      <c r="D123" s="4" t="s">
        <v>258</v>
      </c>
      <c r="E123" s="4" t="s">
        <v>56</v>
      </c>
      <c r="F123" s="4" t="s">
        <v>259</v>
      </c>
      <c r="G123" s="5">
        <v>18407</v>
      </c>
      <c r="H123" s="4">
        <f>DAY(G123)</f>
        <v>24</v>
      </c>
      <c r="I123" s="4">
        <f>MONTH(G123)</f>
        <v>5</v>
      </c>
      <c r="J123" s="4">
        <f>YEAR(G123)</f>
        <v>1950</v>
      </c>
      <c r="K123" s="6">
        <v>5003246100100</v>
      </c>
      <c r="L123" s="5">
        <v>40330</v>
      </c>
      <c r="M123" s="5">
        <v>45474</v>
      </c>
      <c r="N123" s="5">
        <v>45838</v>
      </c>
      <c r="O123" s="4">
        <v>4000.92</v>
      </c>
      <c r="P123" s="4">
        <v>1</v>
      </c>
      <c r="Q123" s="4" t="s">
        <v>33</v>
      </c>
      <c r="R123" s="4" t="s">
        <v>34</v>
      </c>
      <c r="S123" s="4">
        <v>660464</v>
      </c>
      <c r="T123" s="4">
        <v>9110002882046</v>
      </c>
      <c r="U123" s="4">
        <v>0</v>
      </c>
      <c r="V123" s="4">
        <v>0</v>
      </c>
      <c r="W123" s="4">
        <v>0</v>
      </c>
      <c r="X123" s="4">
        <v>0</v>
      </c>
      <c r="Y123" s="4">
        <v>4000.92</v>
      </c>
      <c r="Z123" s="4">
        <v>4000.92</v>
      </c>
      <c r="AA123" s="4" t="s">
        <v>35</v>
      </c>
    </row>
    <row r="124" spans="1:29" x14ac:dyDescent="0.3">
      <c r="A124" s="4" t="s">
        <v>29</v>
      </c>
      <c r="B124" s="4">
        <v>6161103</v>
      </c>
      <c r="C124" s="4">
        <v>6161103</v>
      </c>
      <c r="D124" s="4" t="s">
        <v>83</v>
      </c>
      <c r="E124" s="4" t="s">
        <v>51</v>
      </c>
      <c r="F124" s="4" t="s">
        <v>121</v>
      </c>
      <c r="G124" s="5">
        <v>19874</v>
      </c>
      <c r="H124" s="4">
        <f>DAY(G124)</f>
        <v>30</v>
      </c>
      <c r="I124" s="4">
        <f>MONTH(G124)</f>
        <v>5</v>
      </c>
      <c r="J124" s="4">
        <f>YEAR(G124)</f>
        <v>1954</v>
      </c>
      <c r="K124" s="6">
        <v>5305106100041</v>
      </c>
      <c r="L124" s="5">
        <v>41791</v>
      </c>
      <c r="M124" s="5">
        <v>45474</v>
      </c>
      <c r="N124" s="5">
        <v>45838</v>
      </c>
      <c r="O124" s="4">
        <v>10181.39</v>
      </c>
      <c r="P124" s="4">
        <v>1</v>
      </c>
      <c r="Q124" s="4" t="s">
        <v>33</v>
      </c>
      <c r="R124" s="4" t="s">
        <v>34</v>
      </c>
      <c r="S124" s="4">
        <v>663164</v>
      </c>
      <c r="T124" s="4">
        <v>9110004049600</v>
      </c>
      <c r="U124" s="4">
        <v>0</v>
      </c>
      <c r="V124" s="4">
        <v>0</v>
      </c>
      <c r="W124" s="4">
        <v>0</v>
      </c>
      <c r="X124" s="4">
        <v>1220.3399999999999</v>
      </c>
      <c r="Y124" s="4">
        <v>10181.39</v>
      </c>
      <c r="Z124" s="4">
        <v>8961.0499999999993</v>
      </c>
      <c r="AA124" s="4" t="s">
        <v>35</v>
      </c>
    </row>
    <row r="125" spans="1:29" x14ac:dyDescent="0.3">
      <c r="A125" s="4" t="s">
        <v>29</v>
      </c>
      <c r="B125" s="4">
        <v>6164807</v>
      </c>
      <c r="C125" s="4">
        <v>6164807</v>
      </c>
      <c r="D125" s="4" t="s">
        <v>260</v>
      </c>
      <c r="E125" s="4" t="s">
        <v>134</v>
      </c>
      <c r="F125" s="4" t="s">
        <v>261</v>
      </c>
      <c r="G125" s="5">
        <v>18777</v>
      </c>
      <c r="H125" s="4">
        <f>DAY(G125)</f>
        <v>29</v>
      </c>
      <c r="I125" s="4">
        <f>MONTH(G125)</f>
        <v>5</v>
      </c>
      <c r="J125" s="4">
        <f>YEAR(G125)</f>
        <v>1951</v>
      </c>
      <c r="K125" s="6">
        <v>5105291100040</v>
      </c>
      <c r="L125" s="5">
        <v>40544</v>
      </c>
      <c r="M125" s="5">
        <v>45474</v>
      </c>
      <c r="N125" s="5">
        <v>45838</v>
      </c>
      <c r="O125" s="4">
        <v>4430.55</v>
      </c>
      <c r="P125" s="4">
        <v>1</v>
      </c>
      <c r="Q125" s="4" t="s">
        <v>33</v>
      </c>
      <c r="R125" s="4" t="s">
        <v>34</v>
      </c>
      <c r="S125" s="4">
        <v>660964</v>
      </c>
      <c r="T125" s="4">
        <v>9110000332588</v>
      </c>
      <c r="U125" s="4">
        <v>0</v>
      </c>
      <c r="V125" s="4">
        <v>0</v>
      </c>
      <c r="W125" s="4">
        <v>0</v>
      </c>
      <c r="X125" s="4">
        <v>0</v>
      </c>
      <c r="Y125" s="4">
        <v>4430.55</v>
      </c>
      <c r="Z125" s="4">
        <v>4430.55</v>
      </c>
      <c r="AA125" s="4" t="s">
        <v>35</v>
      </c>
      <c r="AB125" s="4" t="s">
        <v>36</v>
      </c>
    </row>
    <row r="126" spans="1:29" x14ac:dyDescent="0.3">
      <c r="A126" s="4" t="s">
        <v>29</v>
      </c>
      <c r="B126" s="4">
        <v>6183110</v>
      </c>
      <c r="C126" s="4">
        <v>6183110</v>
      </c>
      <c r="D126" s="4" t="s">
        <v>65</v>
      </c>
      <c r="E126" s="4" t="s">
        <v>31</v>
      </c>
      <c r="F126" s="4" t="s">
        <v>262</v>
      </c>
      <c r="G126" s="5">
        <v>21675</v>
      </c>
      <c r="H126" s="4">
        <f>DAY(G126)</f>
        <v>5</v>
      </c>
      <c r="I126" s="4">
        <f>MONTH(G126)</f>
        <v>5</v>
      </c>
      <c r="J126" s="4">
        <f>YEAR(G126)</f>
        <v>1959</v>
      </c>
      <c r="K126" s="6">
        <v>5905056100071</v>
      </c>
      <c r="L126" s="5">
        <v>43617</v>
      </c>
      <c r="M126" s="5">
        <v>45474</v>
      </c>
      <c r="N126" s="5">
        <v>45838</v>
      </c>
      <c r="O126" s="4">
        <v>12523.01</v>
      </c>
      <c r="P126" s="4">
        <v>1</v>
      </c>
      <c r="Q126" s="4" t="s">
        <v>33</v>
      </c>
      <c r="R126" s="4" t="s">
        <v>34</v>
      </c>
      <c r="S126" s="4">
        <v>282064</v>
      </c>
      <c r="T126" s="4">
        <v>57730029404</v>
      </c>
      <c r="U126" s="4">
        <v>0</v>
      </c>
      <c r="V126" s="4">
        <v>0</v>
      </c>
      <c r="W126" s="4">
        <v>0</v>
      </c>
      <c r="X126" s="4">
        <v>1806.9</v>
      </c>
      <c r="Y126" s="4">
        <v>12523.01</v>
      </c>
      <c r="Z126" s="4">
        <v>10716.11</v>
      </c>
      <c r="AA126" s="4" t="s">
        <v>35</v>
      </c>
      <c r="AB126" s="4" t="s">
        <v>36</v>
      </c>
    </row>
    <row r="127" spans="1:29" x14ac:dyDescent="0.3">
      <c r="A127" s="4" t="s">
        <v>29</v>
      </c>
      <c r="B127" s="4">
        <v>6189989</v>
      </c>
      <c r="C127" s="4">
        <v>6189989</v>
      </c>
      <c r="D127" s="4" t="s">
        <v>263</v>
      </c>
      <c r="E127" s="4" t="s">
        <v>142</v>
      </c>
      <c r="F127" s="4" t="s">
        <v>73</v>
      </c>
      <c r="G127" s="5">
        <v>21677</v>
      </c>
      <c r="H127" s="4">
        <f>DAY(G127)</f>
        <v>7</v>
      </c>
      <c r="I127" s="4">
        <f>MONTH(G127)</f>
        <v>5</v>
      </c>
      <c r="J127" s="4">
        <f>YEAR(G127)</f>
        <v>1959</v>
      </c>
      <c r="K127" s="6">
        <v>5905076100010</v>
      </c>
      <c r="L127" s="5">
        <v>43617</v>
      </c>
      <c r="M127" s="5">
        <v>45474</v>
      </c>
      <c r="N127" s="5">
        <v>45838</v>
      </c>
      <c r="O127" s="4">
        <v>10346.209999999999</v>
      </c>
      <c r="P127" s="4">
        <v>1</v>
      </c>
      <c r="Q127" s="4" t="s">
        <v>33</v>
      </c>
      <c r="R127" s="4" t="s">
        <v>34</v>
      </c>
      <c r="S127" s="4">
        <v>770002</v>
      </c>
      <c r="T127" s="4">
        <v>77012897310</v>
      </c>
      <c r="U127" s="4">
        <v>0</v>
      </c>
      <c r="V127" s="4">
        <v>0</v>
      </c>
      <c r="W127" s="4">
        <v>0</v>
      </c>
      <c r="X127" s="4">
        <v>1261.55</v>
      </c>
      <c r="Y127" s="4">
        <v>10346.209999999999</v>
      </c>
      <c r="Z127" s="4">
        <v>9084.66</v>
      </c>
      <c r="AA127" s="4" t="s">
        <v>35</v>
      </c>
    </row>
    <row r="128" spans="1:29" x14ac:dyDescent="0.3">
      <c r="A128" s="4" t="s">
        <v>29</v>
      </c>
      <c r="B128" s="4">
        <v>6213901</v>
      </c>
      <c r="C128" s="4">
        <v>6213901</v>
      </c>
      <c r="D128" s="4" t="s">
        <v>264</v>
      </c>
      <c r="E128" s="4" t="s">
        <v>63</v>
      </c>
      <c r="F128" s="4" t="s">
        <v>265</v>
      </c>
      <c r="G128" s="5">
        <v>20239</v>
      </c>
      <c r="H128" s="4">
        <f>DAY(G128)</f>
        <v>30</v>
      </c>
      <c r="I128" s="4">
        <f>MONTH(G128)</f>
        <v>5</v>
      </c>
      <c r="J128" s="4">
        <f>YEAR(G128)</f>
        <v>1955</v>
      </c>
      <c r="K128" s="6">
        <v>5605301100104</v>
      </c>
      <c r="L128" s="5">
        <v>42156</v>
      </c>
      <c r="M128" s="5">
        <v>45474</v>
      </c>
      <c r="N128" s="5">
        <v>45838</v>
      </c>
      <c r="O128" s="4">
        <v>10872.36</v>
      </c>
      <c r="P128" s="4">
        <v>1</v>
      </c>
      <c r="Q128" s="4" t="s">
        <v>33</v>
      </c>
      <c r="R128" s="4" t="s">
        <v>34</v>
      </c>
      <c r="S128" s="4">
        <v>660964</v>
      </c>
      <c r="T128" s="4">
        <v>9110003600354</v>
      </c>
      <c r="U128" s="4">
        <v>360</v>
      </c>
      <c r="V128" s="4">
        <v>0</v>
      </c>
      <c r="W128" s="4">
        <v>0</v>
      </c>
      <c r="X128" s="4">
        <v>1393.09</v>
      </c>
      <c r="Y128" s="4">
        <v>10872.36</v>
      </c>
      <c r="Z128" s="4">
        <v>9119.27</v>
      </c>
      <c r="AA128" s="4" t="s">
        <v>35</v>
      </c>
      <c r="AB128" s="4" t="s">
        <v>36</v>
      </c>
      <c r="AC128" s="4" t="s">
        <v>120</v>
      </c>
    </row>
    <row r="129" spans="1:29" x14ac:dyDescent="0.3">
      <c r="A129" s="4" t="s">
        <v>29</v>
      </c>
      <c r="B129" s="4">
        <v>6225476</v>
      </c>
      <c r="C129" s="4">
        <v>6225476</v>
      </c>
      <c r="D129" s="4" t="s">
        <v>133</v>
      </c>
      <c r="E129" s="4" t="s">
        <v>41</v>
      </c>
      <c r="F129" s="4" t="s">
        <v>266</v>
      </c>
      <c r="G129" s="5">
        <v>22772</v>
      </c>
      <c r="H129" s="4">
        <f>DAY(G129)</f>
        <v>6</v>
      </c>
      <c r="I129" s="4">
        <f>MONTH(G129)</f>
        <v>5</v>
      </c>
      <c r="J129" s="4">
        <f>YEAR(G129)</f>
        <v>1962</v>
      </c>
      <c r="K129" s="6">
        <v>6205066100024</v>
      </c>
      <c r="L129" s="5">
        <v>44713</v>
      </c>
      <c r="M129" s="5">
        <v>45474</v>
      </c>
      <c r="N129" s="5">
        <v>45838</v>
      </c>
      <c r="O129" s="4">
        <v>10087.459999999999</v>
      </c>
      <c r="P129" s="4">
        <v>1</v>
      </c>
      <c r="Q129" s="4" t="s">
        <v>33</v>
      </c>
      <c r="R129" s="4" t="s">
        <v>34</v>
      </c>
      <c r="S129" s="4">
        <v>90005</v>
      </c>
      <c r="T129" s="4">
        <v>52000375650</v>
      </c>
      <c r="U129" s="4">
        <v>0</v>
      </c>
      <c r="V129" s="4">
        <v>0</v>
      </c>
      <c r="W129" s="4">
        <v>0</v>
      </c>
      <c r="X129" s="4">
        <v>1196.8599999999999</v>
      </c>
      <c r="Y129" s="4">
        <v>10087.459999999999</v>
      </c>
      <c r="Z129" s="4">
        <v>8890.6</v>
      </c>
      <c r="AA129" s="4" t="s">
        <v>35</v>
      </c>
    </row>
    <row r="130" spans="1:29" x14ac:dyDescent="0.3">
      <c r="A130" s="4" t="s">
        <v>29</v>
      </c>
      <c r="B130" s="4">
        <v>6238478</v>
      </c>
      <c r="C130" s="4">
        <v>6238478</v>
      </c>
      <c r="D130" s="4" t="s">
        <v>267</v>
      </c>
      <c r="E130" s="4" t="s">
        <v>38</v>
      </c>
      <c r="F130" s="4" t="s">
        <v>268</v>
      </c>
      <c r="G130" s="5">
        <v>20952</v>
      </c>
      <c r="H130" s="4">
        <f>DAY(G130)</f>
        <v>12</v>
      </c>
      <c r="I130" s="4">
        <f>MONTH(G130)</f>
        <v>5</v>
      </c>
      <c r="J130" s="4">
        <f>YEAR(G130)</f>
        <v>1957</v>
      </c>
      <c r="K130" s="6">
        <v>5705121100068</v>
      </c>
      <c r="L130" s="5">
        <v>42887</v>
      </c>
      <c r="M130" s="5">
        <v>45474</v>
      </c>
      <c r="N130" s="5">
        <v>45838</v>
      </c>
      <c r="O130" s="4">
        <v>11993.52</v>
      </c>
      <c r="P130" s="4">
        <v>1</v>
      </c>
      <c r="Q130" s="4" t="s">
        <v>33</v>
      </c>
      <c r="R130" s="4" t="s">
        <v>34</v>
      </c>
      <c r="S130" s="4">
        <v>660564</v>
      </c>
      <c r="T130" s="4">
        <v>9110001774347</v>
      </c>
      <c r="U130" s="4">
        <v>0</v>
      </c>
      <c r="V130" s="4">
        <v>0</v>
      </c>
      <c r="W130" s="4">
        <v>0</v>
      </c>
      <c r="X130" s="4">
        <v>1673.38</v>
      </c>
      <c r="Y130" s="4">
        <v>11993.52</v>
      </c>
      <c r="Z130" s="4">
        <v>10320.14</v>
      </c>
      <c r="AA130" s="4" t="s">
        <v>35</v>
      </c>
    </row>
    <row r="131" spans="1:29" x14ac:dyDescent="0.3">
      <c r="A131" s="4" t="s">
        <v>29</v>
      </c>
      <c r="B131" s="4">
        <v>6260257</v>
      </c>
      <c r="C131" s="4">
        <v>6260257</v>
      </c>
      <c r="D131" s="4" t="s">
        <v>269</v>
      </c>
      <c r="E131" s="4" t="s">
        <v>270</v>
      </c>
      <c r="F131" s="4" t="s">
        <v>184</v>
      </c>
      <c r="G131" s="5">
        <v>23154</v>
      </c>
      <c r="H131" s="4">
        <f>DAY(G131)</f>
        <v>23</v>
      </c>
      <c r="I131" s="4">
        <f>MONTH(G131)</f>
        <v>5</v>
      </c>
      <c r="J131" s="4">
        <f>YEAR(G131)</f>
        <v>1963</v>
      </c>
      <c r="K131" s="6">
        <v>6205231100024</v>
      </c>
      <c r="L131" s="5">
        <v>45078</v>
      </c>
      <c r="M131" s="5">
        <v>45474</v>
      </c>
      <c r="N131" s="5">
        <v>45838</v>
      </c>
      <c r="O131" s="4">
        <v>6723.94</v>
      </c>
      <c r="P131" s="4">
        <v>1</v>
      </c>
      <c r="Q131" s="4" t="s">
        <v>33</v>
      </c>
      <c r="R131" s="4" t="s">
        <v>34</v>
      </c>
      <c r="S131" s="4">
        <v>90001</v>
      </c>
      <c r="T131" s="4">
        <v>51001120046</v>
      </c>
      <c r="U131" s="4">
        <v>20</v>
      </c>
      <c r="V131" s="4">
        <v>0</v>
      </c>
      <c r="W131" s="4">
        <v>0</v>
      </c>
      <c r="X131" s="4">
        <v>436.45</v>
      </c>
      <c r="Y131" s="4">
        <v>6723.94</v>
      </c>
      <c r="Z131" s="4">
        <v>6267.49</v>
      </c>
      <c r="AA131" s="4" t="s">
        <v>35</v>
      </c>
    </row>
    <row r="132" spans="1:29" x14ac:dyDescent="0.3">
      <c r="A132" s="4" t="s">
        <v>29</v>
      </c>
      <c r="B132" s="4">
        <v>6289625</v>
      </c>
      <c r="C132" s="4">
        <v>6289625</v>
      </c>
      <c r="D132" s="4" t="s">
        <v>271</v>
      </c>
      <c r="E132" s="4" t="s">
        <v>157</v>
      </c>
      <c r="F132" s="4" t="s">
        <v>272</v>
      </c>
      <c r="G132" s="5">
        <v>22061</v>
      </c>
      <c r="H132" s="4">
        <f>DAY(G132)</f>
        <v>25</v>
      </c>
      <c r="I132" s="4">
        <f>MONTH(G132)</f>
        <v>5</v>
      </c>
      <c r="J132" s="4">
        <f>YEAR(G132)</f>
        <v>1960</v>
      </c>
      <c r="K132" s="6">
        <v>546001006289625</v>
      </c>
      <c r="L132" s="5">
        <v>43983</v>
      </c>
      <c r="M132" s="5">
        <v>45474</v>
      </c>
      <c r="N132" s="5">
        <v>45838</v>
      </c>
      <c r="O132" s="4">
        <v>4917.12</v>
      </c>
      <c r="P132" s="4">
        <v>1</v>
      </c>
      <c r="Q132" s="4" t="s">
        <v>33</v>
      </c>
      <c r="R132" s="4" t="s">
        <v>34</v>
      </c>
      <c r="S132" s="4">
        <v>770003</v>
      </c>
      <c r="T132" s="4">
        <v>77400699421</v>
      </c>
      <c r="U132" s="4">
        <v>0</v>
      </c>
      <c r="V132" s="4">
        <v>0</v>
      </c>
      <c r="W132" s="4">
        <v>0</v>
      </c>
      <c r="X132" s="4">
        <v>75.09</v>
      </c>
      <c r="Y132" s="4">
        <v>4917.12</v>
      </c>
      <c r="Z132" s="4">
        <v>4842.03</v>
      </c>
      <c r="AA132" s="4" t="s">
        <v>35</v>
      </c>
    </row>
    <row r="133" spans="1:29" x14ac:dyDescent="0.3">
      <c r="A133" s="4" t="s">
        <v>29</v>
      </c>
      <c r="B133" s="4">
        <v>6291224</v>
      </c>
      <c r="C133" s="4">
        <v>6291224</v>
      </c>
      <c r="D133" s="4" t="s">
        <v>150</v>
      </c>
      <c r="E133" s="4" t="s">
        <v>51</v>
      </c>
      <c r="F133" s="4" t="s">
        <v>273</v>
      </c>
      <c r="G133" s="5">
        <v>22793</v>
      </c>
      <c r="H133" s="4">
        <f>DAY(G133)</f>
        <v>27</v>
      </c>
      <c r="I133" s="4">
        <f>MONTH(G133)</f>
        <v>5</v>
      </c>
      <c r="J133" s="4">
        <f>YEAR(G133)</f>
        <v>1962</v>
      </c>
      <c r="K133" s="6">
        <v>6210211100044</v>
      </c>
      <c r="L133" s="5">
        <v>44713</v>
      </c>
      <c r="M133" s="5">
        <v>45474</v>
      </c>
      <c r="N133" s="5">
        <v>45838</v>
      </c>
      <c r="O133" s="4">
        <v>18231.47</v>
      </c>
      <c r="P133" s="4">
        <v>1</v>
      </c>
      <c r="Q133" s="4" t="s">
        <v>33</v>
      </c>
      <c r="R133" s="4" t="s">
        <v>34</v>
      </c>
      <c r="S133" s="4">
        <v>90001</v>
      </c>
      <c r="T133" s="4">
        <v>51001306107</v>
      </c>
      <c r="U133" s="4">
        <v>0</v>
      </c>
      <c r="V133" s="4">
        <v>0</v>
      </c>
      <c r="W133" s="4">
        <v>0</v>
      </c>
      <c r="X133" s="4">
        <v>3566.38</v>
      </c>
      <c r="Y133" s="4">
        <v>18231.47</v>
      </c>
      <c r="Z133" s="4">
        <v>14665.09</v>
      </c>
      <c r="AA133" s="4" t="s">
        <v>35</v>
      </c>
    </row>
    <row r="134" spans="1:29" x14ac:dyDescent="0.3">
      <c r="A134" s="4" t="s">
        <v>29</v>
      </c>
      <c r="B134" s="4">
        <v>6295259</v>
      </c>
      <c r="C134" s="4">
        <v>6295259</v>
      </c>
      <c r="D134" s="4" t="s">
        <v>274</v>
      </c>
      <c r="E134" s="4" t="s">
        <v>275</v>
      </c>
      <c r="F134" s="4" t="s">
        <v>276</v>
      </c>
      <c r="G134" s="5">
        <v>23502</v>
      </c>
      <c r="H134" s="4">
        <f>DAY(G134)</f>
        <v>5</v>
      </c>
      <c r="I134" s="4">
        <f>MONTH(G134)</f>
        <v>5</v>
      </c>
      <c r="J134" s="4">
        <f>YEAR(G134)</f>
        <v>1964</v>
      </c>
      <c r="K134" s="6">
        <v>6405051100027</v>
      </c>
      <c r="L134" s="5">
        <v>45444</v>
      </c>
      <c r="M134" s="5">
        <v>45444</v>
      </c>
      <c r="N134" s="5">
        <v>45838</v>
      </c>
      <c r="O134" s="4">
        <v>5226.4399999999996</v>
      </c>
      <c r="P134" s="4">
        <v>1</v>
      </c>
      <c r="Q134" s="4" t="s">
        <v>33</v>
      </c>
      <c r="R134" s="4" t="s">
        <v>34</v>
      </c>
      <c r="S134" s="4">
        <v>660964</v>
      </c>
      <c r="T134" s="4">
        <v>9110006593111</v>
      </c>
      <c r="U134" s="4">
        <v>20</v>
      </c>
      <c r="V134" s="4">
        <v>0</v>
      </c>
      <c r="W134" s="4">
        <v>0</v>
      </c>
      <c r="X134" s="4">
        <v>136.94999999999999</v>
      </c>
      <c r="Y134" s="4">
        <v>5226.4399999999996</v>
      </c>
      <c r="Z134" s="4">
        <v>5069.49</v>
      </c>
      <c r="AA134" s="4" t="s">
        <v>35</v>
      </c>
    </row>
    <row r="135" spans="1:29" x14ac:dyDescent="0.3">
      <c r="A135" s="4" t="s">
        <v>29</v>
      </c>
      <c r="B135" s="4">
        <v>6297914</v>
      </c>
      <c r="C135" s="4">
        <v>6297914</v>
      </c>
      <c r="D135" s="4" t="s">
        <v>277</v>
      </c>
      <c r="E135" s="4" t="s">
        <v>103</v>
      </c>
      <c r="F135" s="4" t="s">
        <v>268</v>
      </c>
      <c r="G135" s="5">
        <v>21314</v>
      </c>
      <c r="H135" s="4">
        <f>DAY(G135)</f>
        <v>9</v>
      </c>
      <c r="I135" s="4">
        <f>MONTH(G135)</f>
        <v>5</v>
      </c>
      <c r="J135" s="4">
        <f>YEAR(G135)</f>
        <v>1958</v>
      </c>
      <c r="K135" s="6">
        <v>5805091100021</v>
      </c>
      <c r="L135" s="5">
        <v>43252</v>
      </c>
      <c r="M135" s="5">
        <v>45474</v>
      </c>
      <c r="N135" s="5">
        <v>45838</v>
      </c>
      <c r="O135" s="4">
        <v>11268.75</v>
      </c>
      <c r="P135" s="4">
        <v>1</v>
      </c>
      <c r="Q135" s="4" t="s">
        <v>33</v>
      </c>
      <c r="R135" s="4" t="s">
        <v>34</v>
      </c>
      <c r="S135" s="4">
        <v>90001</v>
      </c>
      <c r="T135" s="4">
        <v>51000565222</v>
      </c>
      <c r="U135" s="4">
        <v>0</v>
      </c>
      <c r="V135" s="4">
        <v>0</v>
      </c>
      <c r="W135" s="4">
        <v>0</v>
      </c>
      <c r="X135" s="4">
        <v>1492.18</v>
      </c>
      <c r="Y135" s="4">
        <v>11268.75</v>
      </c>
      <c r="Z135" s="4">
        <v>9776.57</v>
      </c>
      <c r="AA135" s="4" t="s">
        <v>35</v>
      </c>
    </row>
    <row r="136" spans="1:29" x14ac:dyDescent="0.3">
      <c r="A136" s="4" t="s">
        <v>29</v>
      </c>
      <c r="B136" s="4">
        <v>6341831</v>
      </c>
      <c r="C136" s="4">
        <v>6341831</v>
      </c>
      <c r="D136" s="4" t="s">
        <v>278</v>
      </c>
      <c r="E136" s="4" t="s">
        <v>51</v>
      </c>
      <c r="F136" s="4" t="s">
        <v>279</v>
      </c>
      <c r="G136" s="5">
        <v>22416</v>
      </c>
      <c r="H136" s="4">
        <f>DAY(G136)</f>
        <v>15</v>
      </c>
      <c r="I136" s="4">
        <f>MONTH(G136)</f>
        <v>5</v>
      </c>
      <c r="J136" s="4">
        <f>YEAR(G136)</f>
        <v>1961</v>
      </c>
      <c r="K136" s="6">
        <v>546001006341831</v>
      </c>
      <c r="L136" s="5">
        <v>44348</v>
      </c>
      <c r="M136" s="5">
        <v>45474</v>
      </c>
      <c r="N136" s="5">
        <v>45838</v>
      </c>
      <c r="O136" s="4">
        <v>4876.6899999999996</v>
      </c>
      <c r="P136" s="4">
        <v>1</v>
      </c>
      <c r="Q136" s="4" t="s">
        <v>33</v>
      </c>
      <c r="R136" s="4" t="s">
        <v>34</v>
      </c>
      <c r="S136" s="4">
        <v>660564</v>
      </c>
      <c r="T136" s="4">
        <v>9110003211153</v>
      </c>
      <c r="U136" s="4">
        <v>0</v>
      </c>
      <c r="V136" s="4">
        <v>0</v>
      </c>
      <c r="W136" s="4">
        <v>0</v>
      </c>
      <c r="X136" s="4">
        <v>67</v>
      </c>
      <c r="Y136" s="4">
        <v>4876.6899999999996</v>
      </c>
      <c r="Z136" s="4">
        <v>4809.6899999999996</v>
      </c>
      <c r="AA136" s="4" t="s">
        <v>35</v>
      </c>
    </row>
    <row r="137" spans="1:29" x14ac:dyDescent="0.3">
      <c r="A137" s="4" t="s">
        <v>29</v>
      </c>
      <c r="B137" s="4">
        <v>6363817</v>
      </c>
      <c r="C137" s="4">
        <v>6363817</v>
      </c>
      <c r="D137" s="4" t="s">
        <v>280</v>
      </c>
      <c r="E137" s="4" t="s">
        <v>38</v>
      </c>
      <c r="F137" s="4" t="s">
        <v>281</v>
      </c>
      <c r="G137" s="5">
        <v>23877</v>
      </c>
      <c r="H137" s="4">
        <f>DAY(G137)</f>
        <v>15</v>
      </c>
      <c r="I137" s="4">
        <f>MONTH(G137)</f>
        <v>5</v>
      </c>
      <c r="J137" s="4">
        <f>YEAR(G137)</f>
        <v>1965</v>
      </c>
      <c r="K137" s="6">
        <v>6505166100349</v>
      </c>
      <c r="L137" s="5">
        <v>45809</v>
      </c>
      <c r="M137" s="5">
        <v>45809</v>
      </c>
      <c r="N137" s="5">
        <v>45838</v>
      </c>
      <c r="O137" s="4">
        <v>6514.06</v>
      </c>
      <c r="P137" s="4">
        <v>1</v>
      </c>
      <c r="Q137" s="4" t="s">
        <v>33</v>
      </c>
      <c r="R137" s="4" t="s">
        <v>34</v>
      </c>
      <c r="S137" s="4">
        <v>90001</v>
      </c>
      <c r="T137" s="4">
        <v>51000573837</v>
      </c>
      <c r="U137" s="4">
        <v>0</v>
      </c>
      <c r="V137" s="4">
        <v>0</v>
      </c>
      <c r="W137" s="4">
        <v>0</v>
      </c>
      <c r="X137" s="4">
        <v>394.47</v>
      </c>
      <c r="Y137" s="4">
        <v>6514.06</v>
      </c>
      <c r="Z137" s="4">
        <v>6119.59</v>
      </c>
      <c r="AA137" s="4" t="s">
        <v>35</v>
      </c>
    </row>
    <row r="138" spans="1:29" x14ac:dyDescent="0.3">
      <c r="A138" s="4" t="s">
        <v>29</v>
      </c>
      <c r="B138" s="4">
        <v>6393900</v>
      </c>
      <c r="C138" s="4">
        <v>6393900</v>
      </c>
      <c r="D138" s="4" t="s">
        <v>282</v>
      </c>
      <c r="E138" s="4" t="s">
        <v>41</v>
      </c>
      <c r="F138" s="4" t="s">
        <v>283</v>
      </c>
      <c r="G138" s="5">
        <v>22041</v>
      </c>
      <c r="H138" s="4">
        <f>DAY(G138)</f>
        <v>5</v>
      </c>
      <c r="I138" s="4">
        <f>MONTH(G138)</f>
        <v>5</v>
      </c>
      <c r="J138" s="4">
        <f>YEAR(G138)</f>
        <v>1960</v>
      </c>
      <c r="K138" s="6">
        <v>6005051100439</v>
      </c>
      <c r="L138" s="5">
        <v>43983</v>
      </c>
      <c r="M138" s="5">
        <v>45474</v>
      </c>
      <c r="N138" s="5">
        <v>45838</v>
      </c>
      <c r="O138" s="4">
        <v>5266.36</v>
      </c>
      <c r="P138" s="4">
        <v>1</v>
      </c>
      <c r="Q138" s="4" t="s">
        <v>33</v>
      </c>
      <c r="R138" s="4" t="s">
        <v>34</v>
      </c>
      <c r="S138" s="4">
        <v>660964</v>
      </c>
      <c r="T138" s="4">
        <v>9110002721778</v>
      </c>
      <c r="U138" s="4">
        <v>560</v>
      </c>
      <c r="V138" s="4">
        <v>0</v>
      </c>
      <c r="W138" s="4">
        <v>0</v>
      </c>
      <c r="X138" s="4">
        <v>144.93</v>
      </c>
      <c r="Y138" s="4">
        <v>5266.36</v>
      </c>
      <c r="Z138" s="4">
        <v>4561.43</v>
      </c>
      <c r="AA138" s="4" t="s">
        <v>35</v>
      </c>
    </row>
    <row r="139" spans="1:29" x14ac:dyDescent="0.3">
      <c r="A139" s="4" t="s">
        <v>29</v>
      </c>
      <c r="B139" s="4">
        <v>6402864</v>
      </c>
      <c r="C139" s="4">
        <v>6402864</v>
      </c>
      <c r="D139" s="4" t="s">
        <v>37</v>
      </c>
      <c r="E139" s="4" t="s">
        <v>106</v>
      </c>
      <c r="F139" s="4" t="s">
        <v>284</v>
      </c>
      <c r="G139" s="5">
        <v>22409</v>
      </c>
      <c r="H139" s="4">
        <f>DAY(G139)</f>
        <v>8</v>
      </c>
      <c r="I139" s="4">
        <f>MONTH(G139)</f>
        <v>5</v>
      </c>
      <c r="J139" s="4">
        <f>YEAR(G139)</f>
        <v>1961</v>
      </c>
      <c r="K139" s="6">
        <v>546001006402864</v>
      </c>
      <c r="L139" s="5">
        <v>44348</v>
      </c>
      <c r="M139" s="5">
        <v>45474</v>
      </c>
      <c r="N139" s="5">
        <v>45838</v>
      </c>
      <c r="O139" s="4">
        <v>4796</v>
      </c>
      <c r="P139" s="4">
        <v>1</v>
      </c>
      <c r="Q139" s="4" t="s">
        <v>33</v>
      </c>
      <c r="R139" s="4" t="s">
        <v>34</v>
      </c>
      <c r="S139" s="4">
        <v>90001</v>
      </c>
      <c r="T139" s="4">
        <v>51000035347</v>
      </c>
      <c r="U139" s="4">
        <v>0</v>
      </c>
      <c r="V139" s="4">
        <v>0</v>
      </c>
      <c r="W139" s="4">
        <v>0</v>
      </c>
      <c r="X139" s="4">
        <v>50.86</v>
      </c>
      <c r="Y139" s="4">
        <v>4796</v>
      </c>
      <c r="Z139" s="4">
        <v>4745.1400000000003</v>
      </c>
      <c r="AA139" s="4" t="s">
        <v>35</v>
      </c>
    </row>
    <row r="140" spans="1:29" x14ac:dyDescent="0.3">
      <c r="A140" s="4" t="s">
        <v>29</v>
      </c>
      <c r="B140" s="4">
        <v>6420688</v>
      </c>
      <c r="C140" s="4">
        <v>6420688</v>
      </c>
      <c r="D140" s="4" t="s">
        <v>285</v>
      </c>
      <c r="E140" s="4" t="s">
        <v>286</v>
      </c>
      <c r="F140" s="4" t="s">
        <v>287</v>
      </c>
      <c r="G140" s="5">
        <v>26070</v>
      </c>
      <c r="H140" s="4">
        <f>DAY(G140)</f>
        <v>17</v>
      </c>
      <c r="I140" s="4">
        <f>MONTH(G140)</f>
        <v>5</v>
      </c>
      <c r="J140" s="4">
        <f>YEAR(G140)</f>
        <v>1971</v>
      </c>
      <c r="K140" s="6">
        <v>7105176100121</v>
      </c>
      <c r="L140" s="5">
        <v>45658</v>
      </c>
      <c r="M140" s="5">
        <v>45658</v>
      </c>
      <c r="N140" s="5">
        <v>45838</v>
      </c>
      <c r="O140" s="4">
        <v>4723.91</v>
      </c>
      <c r="P140" s="4">
        <v>1</v>
      </c>
      <c r="Q140" s="4" t="s">
        <v>33</v>
      </c>
      <c r="R140" s="4" t="s">
        <v>34</v>
      </c>
      <c r="S140" s="4">
        <v>770001</v>
      </c>
      <c r="T140" s="4">
        <v>77400478514</v>
      </c>
      <c r="U140" s="4">
        <v>0</v>
      </c>
      <c r="V140" s="4">
        <v>0</v>
      </c>
      <c r="W140" s="4">
        <v>0</v>
      </c>
      <c r="X140" s="4">
        <v>261.44</v>
      </c>
      <c r="Y140" s="4">
        <v>4723.91</v>
      </c>
      <c r="Z140" s="4">
        <v>4462.47</v>
      </c>
      <c r="AA140" s="4" t="s">
        <v>35</v>
      </c>
    </row>
    <row r="141" spans="1:29" x14ac:dyDescent="0.3">
      <c r="A141" s="4" t="s">
        <v>29</v>
      </c>
      <c r="B141" s="4">
        <v>6437914</v>
      </c>
      <c r="C141" s="4">
        <v>6437914</v>
      </c>
      <c r="D141" s="4" t="s">
        <v>288</v>
      </c>
      <c r="E141" s="4" t="s">
        <v>68</v>
      </c>
      <c r="F141" s="4" t="s">
        <v>289</v>
      </c>
      <c r="G141" s="5">
        <v>26059</v>
      </c>
      <c r="H141" s="4">
        <f>DAY(G141)</f>
        <v>6</v>
      </c>
      <c r="I141" s="4">
        <f>MONTH(G141)</f>
        <v>5</v>
      </c>
      <c r="J141" s="4">
        <f>YEAR(G141)</f>
        <v>1971</v>
      </c>
      <c r="K141" s="6">
        <v>7105066100173</v>
      </c>
      <c r="L141" s="5">
        <v>41730</v>
      </c>
      <c r="M141" s="5">
        <v>45474</v>
      </c>
      <c r="N141" s="5">
        <v>45838</v>
      </c>
      <c r="O141" s="4">
        <v>11161.43</v>
      </c>
      <c r="P141" s="4">
        <v>1</v>
      </c>
      <c r="Q141" s="4" t="s">
        <v>33</v>
      </c>
      <c r="R141" s="4" t="s">
        <v>34</v>
      </c>
      <c r="S141" s="4">
        <v>660564</v>
      </c>
      <c r="T141" s="4">
        <v>9110002607193</v>
      </c>
      <c r="U141" s="4">
        <v>0</v>
      </c>
      <c r="V141" s="4">
        <v>0</v>
      </c>
      <c r="W141" s="4">
        <v>0</v>
      </c>
      <c r="X141" s="4">
        <v>1690.35</v>
      </c>
      <c r="Y141" s="4">
        <v>11161.43</v>
      </c>
      <c r="Z141" s="4">
        <v>9471.08</v>
      </c>
      <c r="AA141" s="4" t="s">
        <v>35</v>
      </c>
    </row>
    <row r="142" spans="1:29" x14ac:dyDescent="0.3">
      <c r="A142" s="4" t="s">
        <v>29</v>
      </c>
      <c r="B142" s="4">
        <v>6545341</v>
      </c>
      <c r="C142" s="4">
        <v>6545341</v>
      </c>
      <c r="D142" s="4" t="s">
        <v>290</v>
      </c>
      <c r="E142" s="4" t="s">
        <v>151</v>
      </c>
      <c r="F142" s="4" t="s">
        <v>291</v>
      </c>
      <c r="G142" s="5">
        <v>27154</v>
      </c>
      <c r="H142" s="4">
        <f>DAY(G142)</f>
        <v>5</v>
      </c>
      <c r="I142" s="4">
        <f>MONTH(G142)</f>
        <v>5</v>
      </c>
      <c r="J142" s="4">
        <f>YEAR(G142)</f>
        <v>1974</v>
      </c>
      <c r="K142" s="6">
        <v>7405051100778</v>
      </c>
      <c r="L142" s="5">
        <v>43040</v>
      </c>
      <c r="M142" s="5">
        <v>45474</v>
      </c>
      <c r="N142" s="5">
        <v>45838</v>
      </c>
      <c r="O142" s="4">
        <v>2299.4499999999998</v>
      </c>
      <c r="P142" s="4">
        <v>1</v>
      </c>
      <c r="Q142" s="4" t="s">
        <v>33</v>
      </c>
      <c r="R142" s="4" t="s">
        <v>34</v>
      </c>
      <c r="S142" s="4">
        <v>90001</v>
      </c>
      <c r="T142" s="4">
        <v>51000881531</v>
      </c>
      <c r="U142" s="4">
        <v>0</v>
      </c>
      <c r="V142" s="4">
        <v>0</v>
      </c>
      <c r="W142" s="4">
        <v>0</v>
      </c>
      <c r="X142" s="4">
        <v>0</v>
      </c>
      <c r="Y142" s="4">
        <v>2299.4499999999998</v>
      </c>
      <c r="Z142" s="4">
        <v>2299.4499999999998</v>
      </c>
      <c r="AA142" s="4" t="s">
        <v>35</v>
      </c>
      <c r="AB142" s="4" t="s">
        <v>36</v>
      </c>
      <c r="AC142" s="4" t="s">
        <v>292</v>
      </c>
    </row>
    <row r="143" spans="1:29" x14ac:dyDescent="0.3">
      <c r="A143" s="4" t="s">
        <v>29</v>
      </c>
      <c r="B143" s="4">
        <v>6665920</v>
      </c>
      <c r="C143" s="4">
        <v>6665920</v>
      </c>
      <c r="D143" s="4" t="s">
        <v>44</v>
      </c>
      <c r="E143" s="4" t="s">
        <v>293</v>
      </c>
      <c r="F143" s="4" t="s">
        <v>294</v>
      </c>
      <c r="G143" s="5">
        <v>27902</v>
      </c>
      <c r="H143" s="4">
        <f>DAY(G143)</f>
        <v>22</v>
      </c>
      <c r="I143" s="4">
        <f>MONTH(G143)</f>
        <v>5</v>
      </c>
      <c r="J143" s="4">
        <f>YEAR(G143)</f>
        <v>1976</v>
      </c>
      <c r="K143" s="6">
        <v>7605221100224</v>
      </c>
      <c r="L143" s="5">
        <v>45078</v>
      </c>
      <c r="M143" s="5">
        <v>45474</v>
      </c>
      <c r="N143" s="5">
        <v>45838</v>
      </c>
      <c r="O143" s="4">
        <v>1735.77</v>
      </c>
      <c r="P143" s="4">
        <v>1</v>
      </c>
      <c r="Q143" s="4" t="s">
        <v>33</v>
      </c>
      <c r="R143" s="4" t="s">
        <v>34</v>
      </c>
      <c r="S143" s="4">
        <v>280164</v>
      </c>
      <c r="T143" s="4">
        <v>63052010295</v>
      </c>
      <c r="U143" s="4">
        <v>0</v>
      </c>
      <c r="V143" s="4">
        <v>0</v>
      </c>
      <c r="W143" s="4">
        <v>0</v>
      </c>
      <c r="X143" s="4">
        <v>0</v>
      </c>
      <c r="Y143" s="4">
        <v>1735.77</v>
      </c>
      <c r="Z143" s="4">
        <v>1735.77</v>
      </c>
      <c r="AA143" s="4" t="s">
        <v>35</v>
      </c>
      <c r="AB143" s="4" t="s">
        <v>36</v>
      </c>
    </row>
    <row r="144" spans="1:29" x14ac:dyDescent="0.3">
      <c r="A144" s="4" t="s">
        <v>29</v>
      </c>
      <c r="B144" s="4">
        <v>6725488</v>
      </c>
      <c r="C144" s="4">
        <v>6725488</v>
      </c>
      <c r="D144" s="4" t="s">
        <v>295</v>
      </c>
      <c r="E144" s="4" t="s">
        <v>45</v>
      </c>
      <c r="F144" s="4" t="s">
        <v>296</v>
      </c>
      <c r="G144" s="5">
        <v>27523</v>
      </c>
      <c r="H144" s="4">
        <f>DAY(G144)</f>
        <v>9</v>
      </c>
      <c r="I144" s="4">
        <f>MONTH(G144)</f>
        <v>5</v>
      </c>
      <c r="J144" s="4">
        <f>YEAR(G144)</f>
        <v>1975</v>
      </c>
      <c r="K144" s="6">
        <v>546001006725488</v>
      </c>
      <c r="L144" s="5">
        <v>44013</v>
      </c>
      <c r="M144" s="5">
        <v>45474</v>
      </c>
      <c r="N144" s="5">
        <v>45838</v>
      </c>
      <c r="O144" s="4">
        <v>1602.3</v>
      </c>
      <c r="P144" s="4">
        <v>1</v>
      </c>
      <c r="Q144" s="4" t="s">
        <v>33</v>
      </c>
      <c r="R144" s="4" t="s">
        <v>34</v>
      </c>
      <c r="S144" s="4">
        <v>281764</v>
      </c>
      <c r="T144" s="4">
        <v>62847947720</v>
      </c>
      <c r="U144" s="4">
        <v>0</v>
      </c>
      <c r="V144" s="4">
        <v>0</v>
      </c>
      <c r="W144" s="4">
        <v>0</v>
      </c>
      <c r="X144" s="4">
        <v>0</v>
      </c>
      <c r="Y144" s="4">
        <v>1602.3</v>
      </c>
      <c r="Z144" s="4">
        <v>1602.3</v>
      </c>
      <c r="AA144" s="4" t="s">
        <v>35</v>
      </c>
    </row>
    <row r="145" spans="1:29" x14ac:dyDescent="0.3">
      <c r="A145" s="4" t="s">
        <v>29</v>
      </c>
      <c r="B145" s="4">
        <v>6742287</v>
      </c>
      <c r="C145" s="4">
        <v>6742287</v>
      </c>
      <c r="D145" s="4" t="s">
        <v>30</v>
      </c>
      <c r="E145" s="4" t="s">
        <v>56</v>
      </c>
      <c r="F145" s="4" t="s">
        <v>87</v>
      </c>
      <c r="G145" s="5">
        <v>29729</v>
      </c>
      <c r="H145" s="4">
        <f>DAY(G145)</f>
        <v>23</v>
      </c>
      <c r="I145" s="4">
        <f>MONTH(G145)</f>
        <v>5</v>
      </c>
      <c r="J145" s="4">
        <f>YEAR(G145)</f>
        <v>1981</v>
      </c>
      <c r="K145" s="6">
        <v>541004006742287</v>
      </c>
      <c r="L145" s="5">
        <v>42248</v>
      </c>
      <c r="M145" s="5">
        <v>45474</v>
      </c>
      <c r="N145" s="5">
        <v>45838</v>
      </c>
      <c r="O145" s="4">
        <v>1560.63</v>
      </c>
      <c r="P145" s="4">
        <v>1</v>
      </c>
      <c r="Q145" s="4" t="s">
        <v>33</v>
      </c>
      <c r="R145" s="4" t="s">
        <v>34</v>
      </c>
      <c r="S145" s="4">
        <v>770003</v>
      </c>
      <c r="T145" s="4">
        <v>77016441915</v>
      </c>
      <c r="U145" s="4">
        <v>0</v>
      </c>
      <c r="V145" s="4">
        <v>0</v>
      </c>
      <c r="W145" s="4">
        <v>0</v>
      </c>
      <c r="X145" s="4">
        <v>0</v>
      </c>
      <c r="Y145" s="4">
        <v>1560.63</v>
      </c>
      <c r="Z145" s="4">
        <v>1560.63</v>
      </c>
      <c r="AA145" s="4" t="s">
        <v>35</v>
      </c>
      <c r="AC145" s="4" t="s">
        <v>120</v>
      </c>
    </row>
    <row r="146" spans="1:29" x14ac:dyDescent="0.3">
      <c r="A146" s="4" t="s">
        <v>29</v>
      </c>
      <c r="B146" s="4">
        <v>6957137</v>
      </c>
      <c r="C146" s="4">
        <v>6957137</v>
      </c>
      <c r="D146" s="4" t="s">
        <v>297</v>
      </c>
      <c r="E146" s="4" t="s">
        <v>38</v>
      </c>
      <c r="F146" s="4" t="s">
        <v>298</v>
      </c>
      <c r="G146" s="5">
        <v>27881</v>
      </c>
      <c r="H146" s="4">
        <f>DAY(G146)</f>
        <v>1</v>
      </c>
      <c r="I146" s="4">
        <f>MONTH(G146)</f>
        <v>5</v>
      </c>
      <c r="J146" s="4">
        <f>YEAR(G146)</f>
        <v>1976</v>
      </c>
      <c r="K146" s="6">
        <v>7605016100157</v>
      </c>
      <c r="L146" s="5">
        <v>45839</v>
      </c>
      <c r="M146" s="5">
        <v>45839</v>
      </c>
      <c r="O146" s="4">
        <v>2840.2</v>
      </c>
      <c r="P146" s="4">
        <v>1</v>
      </c>
      <c r="Q146" s="4" t="s">
        <v>33</v>
      </c>
      <c r="R146" s="4" t="s">
        <v>34</v>
      </c>
      <c r="S146" s="4">
        <v>770003</v>
      </c>
      <c r="T146" s="4">
        <v>77400112277</v>
      </c>
      <c r="U146" s="4">
        <v>0</v>
      </c>
      <c r="V146" s="4">
        <v>0</v>
      </c>
      <c r="W146" s="4">
        <v>0</v>
      </c>
      <c r="X146" s="4">
        <v>0</v>
      </c>
      <c r="Y146" s="4">
        <v>2840.2</v>
      </c>
      <c r="Z146" s="4">
        <v>2840.2</v>
      </c>
      <c r="AA146" s="4" t="s">
        <v>35</v>
      </c>
    </row>
    <row r="147" spans="1:29" x14ac:dyDescent="0.3">
      <c r="A147" s="4" t="s">
        <v>29</v>
      </c>
      <c r="B147" s="4">
        <v>7000939</v>
      </c>
      <c r="C147" s="4">
        <v>7000939</v>
      </c>
      <c r="D147" s="4" t="s">
        <v>213</v>
      </c>
      <c r="E147" s="4" t="s">
        <v>38</v>
      </c>
      <c r="F147" s="4" t="s">
        <v>299</v>
      </c>
      <c r="G147" s="5">
        <v>18384</v>
      </c>
      <c r="H147" s="4">
        <f>DAY(G147)</f>
        <v>1</v>
      </c>
      <c r="I147" s="4">
        <f>MONTH(G147)</f>
        <v>5</v>
      </c>
      <c r="J147" s="4">
        <f>YEAR(G147)</f>
        <v>1950</v>
      </c>
      <c r="K147" s="6">
        <v>5012016100182</v>
      </c>
      <c r="L147" s="5">
        <v>40299</v>
      </c>
      <c r="M147" s="5">
        <v>45474</v>
      </c>
      <c r="N147" s="5">
        <v>45838</v>
      </c>
      <c r="O147" s="4">
        <v>1920.57</v>
      </c>
      <c r="P147" s="4">
        <v>1</v>
      </c>
      <c r="Q147" s="4" t="s">
        <v>33</v>
      </c>
      <c r="R147" s="4" t="s">
        <v>34</v>
      </c>
      <c r="S147" s="4">
        <v>770003</v>
      </c>
      <c r="T147" s="4">
        <v>3040115100101</v>
      </c>
      <c r="U147" s="4">
        <v>0</v>
      </c>
      <c r="V147" s="4">
        <v>0</v>
      </c>
      <c r="W147" s="4">
        <v>0</v>
      </c>
      <c r="X147" s="4">
        <v>0</v>
      </c>
      <c r="Y147" s="4">
        <v>1920.57</v>
      </c>
      <c r="Z147" s="4">
        <v>1920.57</v>
      </c>
      <c r="AA147" s="4" t="s">
        <v>35</v>
      </c>
    </row>
    <row r="148" spans="1:29" x14ac:dyDescent="0.3">
      <c r="A148" s="4" t="s">
        <v>29</v>
      </c>
      <c r="B148" s="4">
        <v>7002522</v>
      </c>
      <c r="C148" s="4">
        <v>7002522</v>
      </c>
      <c r="D148" s="4" t="s">
        <v>125</v>
      </c>
      <c r="E148" s="4" t="s">
        <v>51</v>
      </c>
      <c r="F148" s="4" t="s">
        <v>66</v>
      </c>
      <c r="G148" s="5">
        <v>19139</v>
      </c>
      <c r="H148" s="4">
        <f>DAY(G148)</f>
        <v>25</v>
      </c>
      <c r="I148" s="4">
        <f>MONTH(G148)</f>
        <v>5</v>
      </c>
      <c r="J148" s="4">
        <f>YEAR(G148)</f>
        <v>1952</v>
      </c>
      <c r="K148" s="6">
        <v>5205256100116</v>
      </c>
      <c r="L148" s="5">
        <v>41061</v>
      </c>
      <c r="M148" s="5">
        <v>45474</v>
      </c>
      <c r="N148" s="5">
        <v>45838</v>
      </c>
      <c r="O148" s="4">
        <v>15129.79</v>
      </c>
      <c r="P148" s="4">
        <v>1</v>
      </c>
      <c r="Q148" s="4" t="s">
        <v>33</v>
      </c>
      <c r="R148" s="4" t="s">
        <v>34</v>
      </c>
      <c r="S148" s="4">
        <v>282064</v>
      </c>
      <c r="T148" s="4">
        <v>57730005800</v>
      </c>
      <c r="U148" s="4">
        <v>0</v>
      </c>
      <c r="V148" s="4">
        <v>0</v>
      </c>
      <c r="W148" s="4">
        <v>0</v>
      </c>
      <c r="X148" s="4">
        <v>2588.9299999999998</v>
      </c>
      <c r="Y148" s="4">
        <v>15129.79</v>
      </c>
      <c r="Z148" s="4">
        <v>12540.86</v>
      </c>
      <c r="AA148" s="4" t="s">
        <v>35</v>
      </c>
      <c r="AB148" s="4" t="s">
        <v>36</v>
      </c>
    </row>
    <row r="149" spans="1:29" x14ac:dyDescent="0.3">
      <c r="A149" s="4" t="s">
        <v>29</v>
      </c>
      <c r="B149" s="4">
        <v>7024890</v>
      </c>
      <c r="C149" s="4">
        <v>7024890</v>
      </c>
      <c r="D149" s="4" t="s">
        <v>153</v>
      </c>
      <c r="E149" s="4" t="s">
        <v>38</v>
      </c>
      <c r="F149" s="4" t="s">
        <v>259</v>
      </c>
      <c r="G149" s="5">
        <v>19124</v>
      </c>
      <c r="H149" s="4">
        <f>DAY(G149)</f>
        <v>10</v>
      </c>
      <c r="I149" s="4">
        <f>MONTH(G149)</f>
        <v>5</v>
      </c>
      <c r="J149" s="4">
        <f>YEAR(G149)</f>
        <v>1952</v>
      </c>
      <c r="K149" s="6">
        <v>5205106100084</v>
      </c>
      <c r="L149" s="5">
        <v>41061</v>
      </c>
      <c r="M149" s="5">
        <v>45474</v>
      </c>
      <c r="N149" s="5">
        <v>45838</v>
      </c>
      <c r="O149" s="4">
        <v>7840.17</v>
      </c>
      <c r="P149" s="4">
        <v>1</v>
      </c>
      <c r="Q149" s="4" t="s">
        <v>33</v>
      </c>
      <c r="R149" s="4" t="s">
        <v>34</v>
      </c>
      <c r="S149" s="4">
        <v>770005</v>
      </c>
      <c r="T149" s="4">
        <v>1140110083701</v>
      </c>
      <c r="U149" s="4">
        <v>20</v>
      </c>
      <c r="V149" s="4">
        <v>0</v>
      </c>
      <c r="W149" s="4">
        <v>0</v>
      </c>
      <c r="X149" s="4">
        <v>659.7</v>
      </c>
      <c r="Y149" s="4">
        <v>7840.17</v>
      </c>
      <c r="Z149" s="4">
        <v>7160.47</v>
      </c>
      <c r="AA149" s="4" t="s">
        <v>35</v>
      </c>
    </row>
    <row r="150" spans="1:29" x14ac:dyDescent="0.3">
      <c r="A150" s="4" t="s">
        <v>29</v>
      </c>
      <c r="B150" s="4">
        <v>7033922</v>
      </c>
      <c r="C150" s="4">
        <v>7033922</v>
      </c>
      <c r="D150" s="4" t="s">
        <v>277</v>
      </c>
      <c r="E150" s="4" t="s">
        <v>38</v>
      </c>
      <c r="F150" s="4" t="s">
        <v>300</v>
      </c>
      <c r="G150" s="5">
        <v>18753</v>
      </c>
      <c r="H150" s="4">
        <f>DAY(G150)</f>
        <v>5</v>
      </c>
      <c r="I150" s="4">
        <f>MONTH(G150)</f>
        <v>5</v>
      </c>
      <c r="J150" s="4">
        <f>YEAR(G150)</f>
        <v>1951</v>
      </c>
      <c r="K150" s="6">
        <v>5105056100185</v>
      </c>
      <c r="L150" s="5">
        <v>40695</v>
      </c>
      <c r="M150" s="5">
        <v>45474</v>
      </c>
      <c r="N150" s="5">
        <v>45838</v>
      </c>
      <c r="O150" s="4">
        <v>2177.96</v>
      </c>
      <c r="P150" s="4">
        <v>1</v>
      </c>
      <c r="Q150" s="4" t="s">
        <v>33</v>
      </c>
      <c r="R150" s="4" t="s">
        <v>34</v>
      </c>
      <c r="S150" s="4">
        <v>770003</v>
      </c>
      <c r="T150" s="4">
        <v>3040113815401</v>
      </c>
      <c r="U150" s="4">
        <v>0</v>
      </c>
      <c r="V150" s="4">
        <v>0</v>
      </c>
      <c r="W150" s="4">
        <v>0</v>
      </c>
      <c r="X150" s="4">
        <v>0</v>
      </c>
      <c r="Y150" s="4">
        <v>2177.96</v>
      </c>
      <c r="Z150" s="4">
        <v>2177.96</v>
      </c>
      <c r="AA150" s="4" t="s">
        <v>35</v>
      </c>
    </row>
    <row r="151" spans="1:29" x14ac:dyDescent="0.3">
      <c r="A151" s="4" t="s">
        <v>29</v>
      </c>
      <c r="B151" s="4">
        <v>7064511</v>
      </c>
      <c r="C151" s="4">
        <v>7064511</v>
      </c>
      <c r="D151" s="4" t="s">
        <v>44</v>
      </c>
      <c r="E151" s="4" t="s">
        <v>38</v>
      </c>
      <c r="F151" s="4" t="s">
        <v>301</v>
      </c>
      <c r="G151" s="5">
        <v>19869</v>
      </c>
      <c r="H151" s="4">
        <f>DAY(G151)</f>
        <v>25</v>
      </c>
      <c r="I151" s="4">
        <f>MONTH(G151)</f>
        <v>5</v>
      </c>
      <c r="J151" s="4">
        <f>YEAR(G151)</f>
        <v>1954</v>
      </c>
      <c r="K151" s="6">
        <v>5405256100039</v>
      </c>
      <c r="L151" s="5">
        <v>41791</v>
      </c>
      <c r="M151" s="5">
        <v>45474</v>
      </c>
      <c r="N151" s="5">
        <v>45838</v>
      </c>
      <c r="O151" s="4">
        <v>6347.57</v>
      </c>
      <c r="P151" s="4">
        <v>1</v>
      </c>
      <c r="Q151" s="4" t="s">
        <v>33</v>
      </c>
      <c r="R151" s="4" t="s">
        <v>34</v>
      </c>
      <c r="S151" s="4">
        <v>660964</v>
      </c>
      <c r="T151" s="4">
        <v>9110003609653</v>
      </c>
      <c r="U151" s="4">
        <v>0</v>
      </c>
      <c r="V151" s="4">
        <v>0</v>
      </c>
      <c r="W151" s="4">
        <v>0</v>
      </c>
      <c r="X151" s="4">
        <v>361.18</v>
      </c>
      <c r="Y151" s="4">
        <v>6347.57</v>
      </c>
      <c r="Z151" s="4">
        <v>5986.39</v>
      </c>
      <c r="AA151" s="4" t="s">
        <v>35</v>
      </c>
    </row>
    <row r="152" spans="1:29" x14ac:dyDescent="0.3">
      <c r="A152" s="4" t="s">
        <v>29</v>
      </c>
      <c r="B152" s="4">
        <v>7093294</v>
      </c>
      <c r="C152" s="4">
        <v>7093294</v>
      </c>
      <c r="D152" s="4" t="s">
        <v>302</v>
      </c>
      <c r="E152" s="4" t="s">
        <v>103</v>
      </c>
      <c r="F152" s="4" t="s">
        <v>303</v>
      </c>
      <c r="G152" s="5">
        <v>17314</v>
      </c>
      <c r="H152" s="4">
        <f>DAY(G152)</f>
        <v>27</v>
      </c>
      <c r="I152" s="4">
        <f>MONTH(G152)</f>
        <v>5</v>
      </c>
      <c r="J152" s="4">
        <f>YEAR(G152)</f>
        <v>1947</v>
      </c>
      <c r="K152" s="6">
        <v>4705271100018</v>
      </c>
      <c r="L152" s="5">
        <v>39234</v>
      </c>
      <c r="M152" s="5">
        <v>45474</v>
      </c>
      <c r="N152" s="5">
        <v>45838</v>
      </c>
      <c r="O152" s="4">
        <v>7053.73</v>
      </c>
      <c r="P152" s="4">
        <v>1</v>
      </c>
      <c r="Q152" s="4" t="s">
        <v>33</v>
      </c>
      <c r="R152" s="4" t="s">
        <v>34</v>
      </c>
      <c r="S152" s="4">
        <v>660964</v>
      </c>
      <c r="T152" s="4">
        <v>9110001201746</v>
      </c>
      <c r="U152" s="4">
        <v>20</v>
      </c>
      <c r="V152" s="4">
        <v>0</v>
      </c>
      <c r="W152" s="4">
        <v>0</v>
      </c>
      <c r="X152" s="4">
        <v>502.41</v>
      </c>
      <c r="Y152" s="4">
        <v>7053.73</v>
      </c>
      <c r="Z152" s="4">
        <v>6531.32</v>
      </c>
      <c r="AA152" s="4" t="s">
        <v>35</v>
      </c>
    </row>
    <row r="153" spans="1:29" x14ac:dyDescent="0.3">
      <c r="A153" s="4" t="s">
        <v>29</v>
      </c>
      <c r="B153" s="4">
        <v>7102361</v>
      </c>
      <c r="C153" s="4">
        <v>7102361</v>
      </c>
      <c r="D153" s="4" t="s">
        <v>133</v>
      </c>
      <c r="E153" s="4" t="s">
        <v>134</v>
      </c>
      <c r="F153" s="4" t="s">
        <v>304</v>
      </c>
      <c r="G153" s="5">
        <v>20942</v>
      </c>
      <c r="H153" s="4">
        <f>DAY(G153)</f>
        <v>2</v>
      </c>
      <c r="I153" s="4">
        <f>MONTH(G153)</f>
        <v>5</v>
      </c>
      <c r="J153" s="4">
        <f>YEAR(G153)</f>
        <v>1957</v>
      </c>
      <c r="K153" s="6">
        <v>651602007102361</v>
      </c>
      <c r="L153" s="5">
        <v>42887</v>
      </c>
      <c r="M153" s="5">
        <v>45474</v>
      </c>
      <c r="N153" s="5">
        <v>45838</v>
      </c>
      <c r="O153" s="4">
        <v>5333.94</v>
      </c>
      <c r="P153" s="4">
        <v>1</v>
      </c>
      <c r="Q153" s="4" t="s">
        <v>33</v>
      </c>
      <c r="R153" s="4" t="s">
        <v>34</v>
      </c>
      <c r="S153" s="4">
        <v>90001</v>
      </c>
      <c r="T153" s="4">
        <v>51000588877</v>
      </c>
      <c r="U153" s="4">
        <v>0</v>
      </c>
      <c r="V153" s="4">
        <v>0</v>
      </c>
      <c r="W153" s="4">
        <v>0</v>
      </c>
      <c r="X153" s="4">
        <v>158.44999999999999</v>
      </c>
      <c r="Y153" s="4">
        <v>5333.94</v>
      </c>
      <c r="Z153" s="4">
        <v>5175.49</v>
      </c>
      <c r="AA153" s="4" t="s">
        <v>35</v>
      </c>
    </row>
    <row r="154" spans="1:29" x14ac:dyDescent="0.3">
      <c r="A154" s="4" t="s">
        <v>29</v>
      </c>
      <c r="B154" s="4">
        <v>7126370</v>
      </c>
      <c r="C154" s="4">
        <v>7126370</v>
      </c>
      <c r="D154" s="4" t="s">
        <v>111</v>
      </c>
      <c r="E154" s="4" t="s">
        <v>106</v>
      </c>
      <c r="F154" s="4" t="s">
        <v>305</v>
      </c>
      <c r="G154" s="5">
        <v>23133</v>
      </c>
      <c r="H154" s="4">
        <f>DAY(G154)</f>
        <v>2</v>
      </c>
      <c r="I154" s="4">
        <f>MONTH(G154)</f>
        <v>5</v>
      </c>
      <c r="J154" s="4">
        <f>YEAR(G154)</f>
        <v>1963</v>
      </c>
      <c r="K154" s="6">
        <v>6305026100013</v>
      </c>
      <c r="L154" s="5">
        <v>45078</v>
      </c>
      <c r="M154" s="5">
        <v>45474</v>
      </c>
      <c r="N154" s="5">
        <v>45838</v>
      </c>
      <c r="O154" s="4">
        <v>25690.79</v>
      </c>
      <c r="P154" s="4">
        <v>1</v>
      </c>
      <c r="Q154" s="4" t="s">
        <v>33</v>
      </c>
      <c r="R154" s="4" t="s">
        <v>34</v>
      </c>
      <c r="S154" s="4">
        <v>90001</v>
      </c>
      <c r="T154" s="4">
        <v>51000021214</v>
      </c>
      <c r="U154" s="4">
        <v>0</v>
      </c>
      <c r="V154" s="4">
        <v>0</v>
      </c>
      <c r="W154" s="4">
        <v>0</v>
      </c>
      <c r="X154" s="4">
        <v>6027.96</v>
      </c>
      <c r="Y154" s="4">
        <v>25690.79</v>
      </c>
      <c r="Z154" s="4">
        <v>19662.830000000002</v>
      </c>
      <c r="AA154" s="4" t="s">
        <v>35</v>
      </c>
    </row>
    <row r="155" spans="1:29" x14ac:dyDescent="0.3">
      <c r="A155" s="4" t="s">
        <v>29</v>
      </c>
      <c r="B155" s="4">
        <v>7169623</v>
      </c>
      <c r="C155" s="4">
        <v>7169623</v>
      </c>
      <c r="D155" s="4" t="s">
        <v>306</v>
      </c>
      <c r="E155" s="4" t="s">
        <v>38</v>
      </c>
      <c r="F155" s="4" t="s">
        <v>307</v>
      </c>
      <c r="G155" s="5">
        <v>25328</v>
      </c>
      <c r="H155" s="4">
        <f>DAY(G155)</f>
        <v>5</v>
      </c>
      <c r="I155" s="4">
        <f>MONTH(G155)</f>
        <v>5</v>
      </c>
      <c r="J155" s="4">
        <f>YEAR(G155)</f>
        <v>1969</v>
      </c>
      <c r="K155" s="6">
        <v>6905056100062</v>
      </c>
      <c r="L155" s="5">
        <v>42036</v>
      </c>
      <c r="M155" s="5">
        <v>45474</v>
      </c>
      <c r="N155" s="5">
        <v>45838</v>
      </c>
      <c r="O155" s="4">
        <v>1986.58</v>
      </c>
      <c r="P155" s="4">
        <v>1</v>
      </c>
      <c r="Q155" s="4" t="s">
        <v>33</v>
      </c>
      <c r="R155" s="4" t="s">
        <v>34</v>
      </c>
      <c r="S155" s="4">
        <v>663164</v>
      </c>
      <c r="T155" s="4">
        <v>9110004049880</v>
      </c>
      <c r="U155" s="4">
        <v>0</v>
      </c>
      <c r="V155" s="4">
        <v>0</v>
      </c>
      <c r="W155" s="4">
        <v>0</v>
      </c>
      <c r="X155" s="4">
        <v>0</v>
      </c>
      <c r="Y155" s="4">
        <v>1986.58</v>
      </c>
      <c r="Z155" s="4">
        <v>1986.58</v>
      </c>
      <c r="AA155" s="4" t="s">
        <v>35</v>
      </c>
    </row>
    <row r="156" spans="1:29" x14ac:dyDescent="0.3">
      <c r="A156" s="4" t="s">
        <v>29</v>
      </c>
      <c r="B156" s="4">
        <v>7396243</v>
      </c>
      <c r="C156" s="4">
        <v>7396243</v>
      </c>
      <c r="D156" s="4" t="s">
        <v>224</v>
      </c>
      <c r="E156" s="4" t="s">
        <v>134</v>
      </c>
      <c r="F156" s="4" t="s">
        <v>308</v>
      </c>
      <c r="G156" s="5">
        <v>29344</v>
      </c>
      <c r="H156" s="4">
        <f>DAY(G156)</f>
        <v>3</v>
      </c>
      <c r="I156" s="4">
        <f>MONTH(G156)</f>
        <v>5</v>
      </c>
      <c r="J156" s="4">
        <f>YEAR(G156)</f>
        <v>1980</v>
      </c>
      <c r="K156" s="6">
        <v>8005036100148</v>
      </c>
      <c r="L156" s="5">
        <v>45839</v>
      </c>
      <c r="M156" s="5">
        <v>45839</v>
      </c>
      <c r="O156" s="4">
        <v>1599.84</v>
      </c>
      <c r="P156" s="4">
        <v>1</v>
      </c>
      <c r="Q156" s="4" t="s">
        <v>33</v>
      </c>
      <c r="R156" s="4" t="s">
        <v>34</v>
      </c>
      <c r="S156" s="4">
        <v>281764</v>
      </c>
      <c r="T156" s="4">
        <v>62316716309</v>
      </c>
      <c r="U156" s="4">
        <v>0</v>
      </c>
      <c r="V156" s="4">
        <v>0</v>
      </c>
      <c r="W156" s="4">
        <v>0</v>
      </c>
      <c r="X156" s="4">
        <v>0</v>
      </c>
      <c r="Y156" s="4">
        <v>1599.84</v>
      </c>
      <c r="Z156" s="4">
        <v>1599.84</v>
      </c>
      <c r="AA156" s="4" t="s">
        <v>35</v>
      </c>
    </row>
    <row r="157" spans="1:29" x14ac:dyDescent="0.3">
      <c r="A157" s="4" t="s">
        <v>29</v>
      </c>
      <c r="B157" s="4">
        <v>8117856</v>
      </c>
      <c r="C157" s="4">
        <v>8117856</v>
      </c>
      <c r="D157" s="4" t="s">
        <v>309</v>
      </c>
      <c r="E157" s="4" t="s">
        <v>59</v>
      </c>
      <c r="F157" s="4" t="s">
        <v>310</v>
      </c>
      <c r="G157" s="5">
        <v>20588</v>
      </c>
      <c r="H157" s="4">
        <f>DAY(G157)</f>
        <v>13</v>
      </c>
      <c r="I157" s="4">
        <f>MONTH(G157)</f>
        <v>5</v>
      </c>
      <c r="J157" s="4">
        <f>YEAR(G157)</f>
        <v>1956</v>
      </c>
      <c r="K157" s="6">
        <v>5605136100014</v>
      </c>
      <c r="L157" s="5">
        <v>42522</v>
      </c>
      <c r="M157" s="5">
        <v>45474</v>
      </c>
      <c r="N157" s="5">
        <v>45838</v>
      </c>
      <c r="O157" s="4">
        <v>14021.36</v>
      </c>
      <c r="P157" s="4">
        <v>1</v>
      </c>
      <c r="Q157" s="4" t="s">
        <v>33</v>
      </c>
      <c r="R157" s="4" t="s">
        <v>34</v>
      </c>
      <c r="S157" s="4">
        <v>660564</v>
      </c>
      <c r="T157" s="4">
        <v>9110000309624</v>
      </c>
      <c r="U157" s="4">
        <v>0</v>
      </c>
      <c r="V157" s="4">
        <v>0</v>
      </c>
      <c r="W157" s="4">
        <v>0</v>
      </c>
      <c r="X157" s="4">
        <v>2256.4</v>
      </c>
      <c r="Y157" s="4">
        <v>14021.36</v>
      </c>
      <c r="Z157" s="4">
        <v>11764.96</v>
      </c>
      <c r="AA157" s="4" t="s">
        <v>35</v>
      </c>
      <c r="AC157" s="4" t="s">
        <v>108</v>
      </c>
    </row>
    <row r="158" spans="1:29" x14ac:dyDescent="0.3">
      <c r="A158" s="4" t="s">
        <v>29</v>
      </c>
      <c r="B158" s="4">
        <v>8198440</v>
      </c>
      <c r="C158" s="4">
        <v>8198440</v>
      </c>
      <c r="D158" s="4" t="s">
        <v>311</v>
      </c>
      <c r="E158" s="4" t="s">
        <v>38</v>
      </c>
      <c r="F158" s="4" t="s">
        <v>312</v>
      </c>
      <c r="G158" s="5">
        <v>21690</v>
      </c>
      <c r="H158" s="4">
        <f>DAY(G158)</f>
        <v>20</v>
      </c>
      <c r="I158" s="4">
        <f>MONTH(G158)</f>
        <v>5</v>
      </c>
      <c r="J158" s="4">
        <f>YEAR(G158)</f>
        <v>1959</v>
      </c>
      <c r="K158" s="6">
        <v>5905206100047</v>
      </c>
      <c r="L158" s="5">
        <v>43617</v>
      </c>
      <c r="M158" s="5">
        <v>45474</v>
      </c>
      <c r="N158" s="5">
        <v>45838</v>
      </c>
      <c r="O158" s="4">
        <v>1560.63</v>
      </c>
      <c r="P158" s="4">
        <v>1</v>
      </c>
      <c r="Q158" s="4" t="s">
        <v>33</v>
      </c>
      <c r="R158" s="4" t="s">
        <v>34</v>
      </c>
      <c r="S158" s="4">
        <v>663464</v>
      </c>
      <c r="T158" s="4">
        <v>9110002411558</v>
      </c>
      <c r="U158" s="4">
        <v>0</v>
      </c>
      <c r="V158" s="4">
        <v>0</v>
      </c>
      <c r="W158" s="4">
        <v>0</v>
      </c>
      <c r="X158" s="4">
        <v>0</v>
      </c>
      <c r="Y158" s="4">
        <v>1560.63</v>
      </c>
      <c r="Z158" s="4">
        <v>1560.63</v>
      </c>
      <c r="AA158" s="4" t="s">
        <v>35</v>
      </c>
    </row>
    <row r="159" spans="1:29" x14ac:dyDescent="0.3">
      <c r="A159" s="4" t="s">
        <v>29</v>
      </c>
      <c r="B159" s="4">
        <v>8216443</v>
      </c>
      <c r="C159" s="4">
        <v>8216443</v>
      </c>
      <c r="D159" s="4" t="s">
        <v>313</v>
      </c>
      <c r="E159" s="4" t="s">
        <v>38</v>
      </c>
      <c r="F159" s="4" t="s">
        <v>314</v>
      </c>
      <c r="G159" s="5">
        <v>22040</v>
      </c>
      <c r="H159" s="4">
        <f>DAY(G159)</f>
        <v>4</v>
      </c>
      <c r="I159" s="4">
        <f>MONTH(G159)</f>
        <v>5</v>
      </c>
      <c r="J159" s="4">
        <f>YEAR(G159)</f>
        <v>1960</v>
      </c>
      <c r="K159" s="6">
        <v>6005046100064</v>
      </c>
      <c r="L159" s="5">
        <v>43983</v>
      </c>
      <c r="M159" s="5">
        <v>45474</v>
      </c>
      <c r="N159" s="5">
        <v>45838</v>
      </c>
      <c r="O159" s="4">
        <v>13155.24</v>
      </c>
      <c r="P159" s="4">
        <v>1</v>
      </c>
      <c r="Q159" s="4" t="s">
        <v>33</v>
      </c>
      <c r="R159" s="4" t="s">
        <v>34</v>
      </c>
      <c r="S159" s="4">
        <v>770002</v>
      </c>
      <c r="T159" s="4">
        <v>77401035403</v>
      </c>
      <c r="U159" s="4">
        <v>0</v>
      </c>
      <c r="V159" s="4">
        <v>0</v>
      </c>
      <c r="W159" s="4">
        <v>0</v>
      </c>
      <c r="X159" s="4">
        <v>1996.57</v>
      </c>
      <c r="Y159" s="4">
        <v>13155.24</v>
      </c>
      <c r="Z159" s="4">
        <v>11158.67</v>
      </c>
      <c r="AA159" s="4" t="s">
        <v>35</v>
      </c>
    </row>
    <row r="160" spans="1:29" x14ac:dyDescent="0.3">
      <c r="A160" s="4" t="s">
        <v>29</v>
      </c>
      <c r="B160" s="4">
        <v>8246770</v>
      </c>
      <c r="C160" s="4">
        <v>8246770</v>
      </c>
      <c r="D160" s="4" t="s">
        <v>168</v>
      </c>
      <c r="E160" s="4" t="s">
        <v>315</v>
      </c>
      <c r="F160" s="4" t="s">
        <v>316</v>
      </c>
      <c r="G160" s="5">
        <v>22412</v>
      </c>
      <c r="H160" s="4">
        <f>DAY(G160)</f>
        <v>11</v>
      </c>
      <c r="I160" s="4">
        <f>MONTH(G160)</f>
        <v>5</v>
      </c>
      <c r="J160" s="4">
        <f>YEAR(G160)</f>
        <v>1961</v>
      </c>
      <c r="K160" s="6">
        <v>6105116100133</v>
      </c>
      <c r="L160" s="5">
        <v>44348</v>
      </c>
      <c r="M160" s="5">
        <v>45474</v>
      </c>
      <c r="N160" s="5">
        <v>45838</v>
      </c>
      <c r="O160" s="4">
        <v>1777.09</v>
      </c>
      <c r="P160" s="4">
        <v>1</v>
      </c>
      <c r="Q160" s="4" t="s">
        <v>33</v>
      </c>
      <c r="R160" s="4" t="s">
        <v>34</v>
      </c>
      <c r="S160" s="4">
        <v>90001</v>
      </c>
      <c r="T160" s="4">
        <v>51000614584</v>
      </c>
      <c r="U160" s="4">
        <v>0</v>
      </c>
      <c r="V160" s="4">
        <v>0</v>
      </c>
      <c r="W160" s="4">
        <v>0</v>
      </c>
      <c r="X160" s="4">
        <v>0</v>
      </c>
      <c r="Y160" s="4">
        <v>1777.09</v>
      </c>
      <c r="Z160" s="4">
        <v>1777.09</v>
      </c>
      <c r="AA160" s="4" t="s">
        <v>35</v>
      </c>
    </row>
    <row r="161" spans="1:28" x14ac:dyDescent="0.3">
      <c r="A161" s="4" t="s">
        <v>29</v>
      </c>
      <c r="B161" s="4">
        <v>8259143</v>
      </c>
      <c r="C161" s="4">
        <v>8259143</v>
      </c>
      <c r="D161" s="4" t="s">
        <v>317</v>
      </c>
      <c r="E161" s="4" t="s">
        <v>146</v>
      </c>
      <c r="F161" s="4" t="s">
        <v>318</v>
      </c>
      <c r="G161" s="5">
        <v>17657</v>
      </c>
      <c r="H161" s="4">
        <f>DAY(G161)</f>
        <v>4</v>
      </c>
      <c r="I161" s="4">
        <f>MONTH(G161)</f>
        <v>5</v>
      </c>
      <c r="J161" s="4">
        <f>YEAR(G161)</f>
        <v>1948</v>
      </c>
      <c r="K161" s="6">
        <v>4807206100103</v>
      </c>
      <c r="L161" s="5">
        <v>39600</v>
      </c>
      <c r="M161" s="5">
        <v>45474</v>
      </c>
      <c r="N161" s="5">
        <v>45838</v>
      </c>
      <c r="O161" s="4">
        <v>1920.57</v>
      </c>
      <c r="P161" s="4">
        <v>1</v>
      </c>
      <c r="Q161" s="4" t="s">
        <v>33</v>
      </c>
      <c r="R161" s="4" t="s">
        <v>34</v>
      </c>
      <c r="S161" s="4">
        <v>770008</v>
      </c>
      <c r="T161" s="4">
        <v>77011794917</v>
      </c>
      <c r="U161" s="4">
        <v>0</v>
      </c>
      <c r="V161" s="4">
        <v>0</v>
      </c>
      <c r="W161" s="4">
        <v>0</v>
      </c>
      <c r="X161" s="4">
        <v>0</v>
      </c>
      <c r="Y161" s="4">
        <v>1920.57</v>
      </c>
      <c r="Z161" s="4">
        <v>1920.57</v>
      </c>
      <c r="AA161" s="4" t="s">
        <v>35</v>
      </c>
    </row>
    <row r="162" spans="1:28" x14ac:dyDescent="0.3">
      <c r="A162" s="4" t="s">
        <v>29</v>
      </c>
      <c r="B162" s="4">
        <v>8407339</v>
      </c>
      <c r="C162" s="4">
        <v>8407339</v>
      </c>
      <c r="D162" s="4" t="s">
        <v>222</v>
      </c>
      <c r="E162" s="4" t="s">
        <v>63</v>
      </c>
      <c r="F162" s="4" t="s">
        <v>319</v>
      </c>
      <c r="G162" s="5">
        <v>18029</v>
      </c>
      <c r="H162" s="4">
        <f>DAY(G162)</f>
        <v>11</v>
      </c>
      <c r="I162" s="4">
        <f>MONTH(G162)</f>
        <v>5</v>
      </c>
      <c r="J162" s="4">
        <f>YEAR(G162)</f>
        <v>1949</v>
      </c>
      <c r="K162" s="6">
        <v>4905071100016</v>
      </c>
      <c r="L162" s="5">
        <v>39965</v>
      </c>
      <c r="M162" s="5">
        <v>45474</v>
      </c>
      <c r="N162" s="5">
        <v>45838</v>
      </c>
      <c r="O162" s="4">
        <v>1920.57</v>
      </c>
      <c r="P162" s="4">
        <v>1</v>
      </c>
      <c r="Q162" s="4" t="s">
        <v>33</v>
      </c>
      <c r="R162" s="4" t="s">
        <v>34</v>
      </c>
      <c r="S162" s="4">
        <v>90001</v>
      </c>
      <c r="T162" s="4">
        <v>51000592572</v>
      </c>
      <c r="U162" s="4">
        <v>20</v>
      </c>
      <c r="V162" s="4">
        <v>0</v>
      </c>
      <c r="W162" s="4">
        <v>0</v>
      </c>
      <c r="X162" s="4">
        <v>0</v>
      </c>
      <c r="Y162" s="4">
        <v>1920.57</v>
      </c>
      <c r="Z162" s="4">
        <v>1900.57</v>
      </c>
      <c r="AA162" s="4" t="s">
        <v>35</v>
      </c>
    </row>
    <row r="163" spans="1:28" x14ac:dyDescent="0.3">
      <c r="A163" s="4" t="s">
        <v>29</v>
      </c>
      <c r="B163" s="4">
        <v>8408639</v>
      </c>
      <c r="C163" s="4">
        <v>8408639</v>
      </c>
      <c r="D163" s="4" t="s">
        <v>222</v>
      </c>
      <c r="E163" s="4" t="s">
        <v>38</v>
      </c>
      <c r="F163" s="4" t="s">
        <v>320</v>
      </c>
      <c r="G163" s="5">
        <v>22408</v>
      </c>
      <c r="H163" s="4">
        <f>DAY(G163)</f>
        <v>7</v>
      </c>
      <c r="I163" s="4">
        <f>MONTH(G163)</f>
        <v>5</v>
      </c>
      <c r="J163" s="4">
        <f>YEAR(G163)</f>
        <v>1961</v>
      </c>
      <c r="K163" s="6">
        <v>216001008408639</v>
      </c>
      <c r="L163" s="5">
        <v>44348</v>
      </c>
      <c r="M163" s="5">
        <v>45474</v>
      </c>
      <c r="N163" s="5">
        <v>45838</v>
      </c>
      <c r="O163" s="4">
        <v>1500</v>
      </c>
      <c r="P163" s="4">
        <v>1</v>
      </c>
      <c r="Q163" s="4" t="s">
        <v>33</v>
      </c>
      <c r="R163" s="4" t="s">
        <v>34</v>
      </c>
      <c r="S163" s="4">
        <v>770006</v>
      </c>
      <c r="T163" s="4">
        <v>77400707928</v>
      </c>
      <c r="U163" s="4">
        <v>20</v>
      </c>
      <c r="V163" s="4">
        <v>0</v>
      </c>
      <c r="W163" s="4">
        <v>0</v>
      </c>
      <c r="X163" s="4">
        <v>0</v>
      </c>
      <c r="Y163" s="4">
        <v>1500</v>
      </c>
      <c r="Z163" s="4">
        <v>1480</v>
      </c>
      <c r="AA163" s="4" t="s">
        <v>35</v>
      </c>
    </row>
    <row r="164" spans="1:28" x14ac:dyDescent="0.3">
      <c r="A164" s="4" t="s">
        <v>29</v>
      </c>
      <c r="B164" s="4">
        <v>8457248</v>
      </c>
      <c r="C164" s="4">
        <v>8457248</v>
      </c>
      <c r="D164" s="4" t="s">
        <v>37</v>
      </c>
      <c r="E164" s="4" t="s">
        <v>54</v>
      </c>
      <c r="F164" s="4" t="s">
        <v>321</v>
      </c>
      <c r="G164" s="5">
        <v>23868</v>
      </c>
      <c r="H164" s="4">
        <f>DAY(G164)</f>
        <v>6</v>
      </c>
      <c r="I164" s="4">
        <f>MONTH(G164)</f>
        <v>5</v>
      </c>
      <c r="J164" s="4">
        <f>YEAR(G164)</f>
        <v>1965</v>
      </c>
      <c r="K164" s="6">
        <v>6505066100167</v>
      </c>
      <c r="L164" s="5">
        <v>45809</v>
      </c>
      <c r="M164" s="5">
        <v>45809</v>
      </c>
      <c r="N164" s="5">
        <v>45838</v>
      </c>
      <c r="O164" s="4">
        <v>15413.62</v>
      </c>
      <c r="P164" s="4">
        <v>1</v>
      </c>
      <c r="Q164" s="4" t="s">
        <v>33</v>
      </c>
      <c r="R164" s="4" t="s">
        <v>34</v>
      </c>
      <c r="S164" s="4">
        <v>770004</v>
      </c>
      <c r="T164" s="4">
        <v>77400022588</v>
      </c>
      <c r="U164" s="4">
        <v>0</v>
      </c>
      <c r="V164" s="4">
        <v>0</v>
      </c>
      <c r="W164" s="4">
        <v>0</v>
      </c>
      <c r="X164" s="4">
        <v>2674.08</v>
      </c>
      <c r="Y164" s="4">
        <v>15413.62</v>
      </c>
      <c r="Z164" s="4">
        <v>12739.54</v>
      </c>
      <c r="AA164" s="4" t="s">
        <v>35</v>
      </c>
    </row>
    <row r="165" spans="1:28" x14ac:dyDescent="0.3">
      <c r="A165" s="4" t="s">
        <v>29</v>
      </c>
      <c r="B165" s="4">
        <v>8544748</v>
      </c>
      <c r="C165" s="4">
        <v>8544748</v>
      </c>
      <c r="D165" s="4" t="s">
        <v>322</v>
      </c>
      <c r="E165" s="4" t="s">
        <v>323</v>
      </c>
      <c r="F165" s="4" t="s">
        <v>324</v>
      </c>
      <c r="G165" s="5">
        <v>23517</v>
      </c>
      <c r="H165" s="4">
        <f>DAY(G165)</f>
        <v>20</v>
      </c>
      <c r="I165" s="4">
        <f>MONTH(G165)</f>
        <v>5</v>
      </c>
      <c r="J165" s="4">
        <f>YEAR(G165)</f>
        <v>1964</v>
      </c>
      <c r="K165" s="6">
        <v>6405206100039</v>
      </c>
      <c r="L165" s="5">
        <v>45444</v>
      </c>
      <c r="M165" s="5">
        <v>45444</v>
      </c>
      <c r="N165" s="5">
        <v>45838</v>
      </c>
      <c r="O165" s="4">
        <v>17198.189999999999</v>
      </c>
      <c r="P165" s="4">
        <v>1</v>
      </c>
      <c r="Q165" s="4" t="s">
        <v>33</v>
      </c>
      <c r="R165" s="4" t="s">
        <v>34</v>
      </c>
      <c r="S165" s="4">
        <v>663164</v>
      </c>
      <c r="T165" s="4">
        <v>9110000635882</v>
      </c>
      <c r="U165" s="4">
        <v>0</v>
      </c>
      <c r="V165" s="4">
        <v>0</v>
      </c>
      <c r="W165" s="4">
        <v>0</v>
      </c>
      <c r="X165" s="4">
        <v>3225.4</v>
      </c>
      <c r="Y165" s="4">
        <v>17198.189999999999</v>
      </c>
      <c r="Z165" s="4">
        <v>13972.79</v>
      </c>
      <c r="AA165" s="4" t="s">
        <v>35</v>
      </c>
    </row>
    <row r="166" spans="1:28" x14ac:dyDescent="0.3">
      <c r="A166" s="4" t="s">
        <v>29</v>
      </c>
      <c r="B166" s="4">
        <v>8719513</v>
      </c>
      <c r="C166" s="4">
        <v>8719513</v>
      </c>
      <c r="D166" s="4" t="s">
        <v>325</v>
      </c>
      <c r="E166" s="4" t="s">
        <v>38</v>
      </c>
      <c r="F166" s="4" t="s">
        <v>326</v>
      </c>
      <c r="G166" s="5">
        <v>22037</v>
      </c>
      <c r="H166" s="4">
        <f>DAY(G166)</f>
        <v>1</v>
      </c>
      <c r="I166" s="4">
        <f>MONTH(G166)</f>
        <v>5</v>
      </c>
      <c r="J166" s="4">
        <f>YEAR(G166)</f>
        <v>1960</v>
      </c>
      <c r="K166" s="6">
        <v>8801016101433</v>
      </c>
      <c r="L166" s="5">
        <v>43952</v>
      </c>
      <c r="M166" s="5">
        <v>45474</v>
      </c>
      <c r="N166" s="5">
        <v>45838</v>
      </c>
      <c r="O166" s="4">
        <v>1882.7</v>
      </c>
      <c r="P166" s="4">
        <v>1</v>
      </c>
      <c r="Q166" s="4" t="s">
        <v>33</v>
      </c>
      <c r="R166" s="4" t="s">
        <v>34</v>
      </c>
      <c r="S166" s="4">
        <v>770006</v>
      </c>
      <c r="T166" s="4">
        <v>77400158487</v>
      </c>
      <c r="U166" s="4">
        <v>0</v>
      </c>
      <c r="V166" s="4">
        <v>0</v>
      </c>
      <c r="W166" s="4">
        <v>0</v>
      </c>
      <c r="X166" s="4">
        <v>0</v>
      </c>
      <c r="Y166" s="4">
        <v>1882.7</v>
      </c>
      <c r="Z166" s="4">
        <v>1882.7</v>
      </c>
      <c r="AA166" s="4" t="s">
        <v>35</v>
      </c>
    </row>
    <row r="167" spans="1:28" x14ac:dyDescent="0.3">
      <c r="A167" s="4" t="s">
        <v>29</v>
      </c>
      <c r="B167" s="4">
        <v>8742180</v>
      </c>
      <c r="C167" s="4">
        <v>8742180</v>
      </c>
      <c r="D167" s="4" t="s">
        <v>224</v>
      </c>
      <c r="E167" s="4" t="s">
        <v>327</v>
      </c>
      <c r="F167" s="4" t="s">
        <v>328</v>
      </c>
      <c r="G167" s="5">
        <v>23136</v>
      </c>
      <c r="H167" s="4">
        <f>DAY(G167)</f>
        <v>5</v>
      </c>
      <c r="I167" s="4">
        <f>MONTH(G167)</f>
        <v>5</v>
      </c>
      <c r="J167" s="4">
        <f>YEAR(G167)</f>
        <v>1963</v>
      </c>
      <c r="K167" s="6">
        <v>6305056100024</v>
      </c>
      <c r="L167" s="5">
        <v>45078</v>
      </c>
      <c r="M167" s="5">
        <v>45474</v>
      </c>
      <c r="N167" s="5">
        <v>45838</v>
      </c>
      <c r="O167" s="4">
        <v>26018.48</v>
      </c>
      <c r="P167" s="4">
        <v>1</v>
      </c>
      <c r="Q167" s="4" t="s">
        <v>33</v>
      </c>
      <c r="R167" s="4" t="s">
        <v>34</v>
      </c>
      <c r="S167" s="4">
        <v>663164</v>
      </c>
      <c r="T167" s="4">
        <v>9110000679030</v>
      </c>
      <c r="U167" s="4">
        <v>0</v>
      </c>
      <c r="V167" s="4">
        <v>0</v>
      </c>
      <c r="W167" s="4">
        <v>0</v>
      </c>
      <c r="X167" s="4">
        <v>6136.09</v>
      </c>
      <c r="Y167" s="4">
        <v>26018.48</v>
      </c>
      <c r="Z167" s="4">
        <v>19882.39</v>
      </c>
      <c r="AA167" s="4" t="s">
        <v>35</v>
      </c>
    </row>
    <row r="168" spans="1:28" x14ac:dyDescent="0.3">
      <c r="A168" s="4" t="s">
        <v>29</v>
      </c>
      <c r="B168" s="4">
        <v>8762920</v>
      </c>
      <c r="C168" s="4">
        <v>8762920</v>
      </c>
      <c r="D168" s="4" t="s">
        <v>74</v>
      </c>
      <c r="E168" s="4" t="s">
        <v>41</v>
      </c>
      <c r="F168" s="4" t="s">
        <v>329</v>
      </c>
      <c r="G168" s="5">
        <v>26423</v>
      </c>
      <c r="H168" s="4">
        <f>DAY(G168)</f>
        <v>4</v>
      </c>
      <c r="I168" s="4">
        <f>MONTH(G168)</f>
        <v>5</v>
      </c>
      <c r="J168" s="4">
        <f>YEAR(G168)</f>
        <v>1972</v>
      </c>
      <c r="K168" s="6">
        <v>7205041100247</v>
      </c>
      <c r="L168" s="5">
        <v>41730</v>
      </c>
      <c r="M168" s="5">
        <v>45474</v>
      </c>
      <c r="N168" s="5">
        <v>45838</v>
      </c>
      <c r="O168" s="4">
        <v>5649.57</v>
      </c>
      <c r="P168" s="4">
        <v>1</v>
      </c>
      <c r="Q168" s="4" t="s">
        <v>33</v>
      </c>
      <c r="R168" s="4" t="s">
        <v>34</v>
      </c>
      <c r="S168" s="4">
        <v>770008</v>
      </c>
      <c r="T168" s="4">
        <v>77017561221</v>
      </c>
      <c r="U168" s="4">
        <v>0</v>
      </c>
      <c r="V168" s="4">
        <v>0</v>
      </c>
      <c r="W168" s="4">
        <v>0</v>
      </c>
      <c r="X168" s="4">
        <v>446.58</v>
      </c>
      <c r="Y168" s="4">
        <v>5649.57</v>
      </c>
      <c r="Z168" s="4">
        <v>5202.99</v>
      </c>
      <c r="AA168" s="4" t="s">
        <v>35</v>
      </c>
    </row>
    <row r="169" spans="1:28" x14ac:dyDescent="0.3">
      <c r="A169" s="4" t="s">
        <v>29</v>
      </c>
      <c r="B169" s="4">
        <v>8820015</v>
      </c>
      <c r="C169" s="4">
        <v>8820015</v>
      </c>
      <c r="D169" s="4" t="s">
        <v>139</v>
      </c>
      <c r="E169" s="4" t="s">
        <v>103</v>
      </c>
      <c r="F169" s="4" t="s">
        <v>330</v>
      </c>
      <c r="G169" s="5">
        <v>26805</v>
      </c>
      <c r="H169" s="4">
        <f>DAY(G169)</f>
        <v>21</v>
      </c>
      <c r="I169" s="4">
        <f>MONTH(G169)</f>
        <v>5</v>
      </c>
      <c r="J169" s="4">
        <f>YEAR(G169)</f>
        <v>1973</v>
      </c>
      <c r="K169" s="6">
        <v>7205216100105</v>
      </c>
      <c r="L169" s="5">
        <v>43252</v>
      </c>
      <c r="M169" s="5">
        <v>45474</v>
      </c>
      <c r="N169" s="5">
        <v>45838</v>
      </c>
      <c r="O169" s="4">
        <v>1560.63</v>
      </c>
      <c r="P169" s="4">
        <v>1</v>
      </c>
      <c r="Q169" s="4" t="s">
        <v>33</v>
      </c>
      <c r="R169" s="4" t="s">
        <v>34</v>
      </c>
      <c r="S169" s="4">
        <v>282064</v>
      </c>
      <c r="T169" s="4">
        <v>62288706909</v>
      </c>
      <c r="U169" s="4">
        <v>0</v>
      </c>
      <c r="V169" s="4">
        <v>0</v>
      </c>
      <c r="W169" s="4">
        <v>0</v>
      </c>
      <c r="X169" s="4">
        <v>0</v>
      </c>
      <c r="Y169" s="4">
        <v>1560.63</v>
      </c>
      <c r="Z169" s="4">
        <v>1560.63</v>
      </c>
      <c r="AA169" s="4" t="s">
        <v>35</v>
      </c>
    </row>
    <row r="170" spans="1:28" x14ac:dyDescent="0.3">
      <c r="A170" s="4" t="s">
        <v>29</v>
      </c>
      <c r="B170" s="4">
        <v>8881649</v>
      </c>
      <c r="C170" s="4">
        <v>8881649</v>
      </c>
      <c r="D170" s="4" t="s">
        <v>133</v>
      </c>
      <c r="E170" s="4" t="s">
        <v>331</v>
      </c>
      <c r="F170" s="4" t="s">
        <v>332</v>
      </c>
      <c r="G170" s="5">
        <v>21685</v>
      </c>
      <c r="H170" s="4">
        <f>DAY(G170)</f>
        <v>15</v>
      </c>
      <c r="I170" s="4">
        <f>MONTH(G170)</f>
        <v>5</v>
      </c>
      <c r="J170" s="4">
        <f>YEAR(G170)</f>
        <v>1959</v>
      </c>
      <c r="K170" s="6">
        <v>5906261100054</v>
      </c>
      <c r="L170" s="5">
        <v>43617</v>
      </c>
      <c r="M170" s="5">
        <v>45474</v>
      </c>
      <c r="N170" s="5">
        <v>45838</v>
      </c>
      <c r="O170" s="4">
        <v>1560.63</v>
      </c>
      <c r="P170" s="4">
        <v>1</v>
      </c>
      <c r="Q170" s="4" t="s">
        <v>33</v>
      </c>
      <c r="R170" s="4" t="s">
        <v>34</v>
      </c>
      <c r="S170" s="4">
        <v>90001</v>
      </c>
      <c r="T170" s="4">
        <v>51001073382</v>
      </c>
      <c r="U170" s="4">
        <v>20</v>
      </c>
      <c r="V170" s="4">
        <v>0</v>
      </c>
      <c r="W170" s="4">
        <v>0</v>
      </c>
      <c r="X170" s="4">
        <v>0</v>
      </c>
      <c r="Y170" s="4">
        <v>1560.63</v>
      </c>
      <c r="Z170" s="4">
        <v>1540.63</v>
      </c>
      <c r="AA170" s="4" t="s">
        <v>35</v>
      </c>
    </row>
    <row r="171" spans="1:28" x14ac:dyDescent="0.3">
      <c r="A171" s="4" t="s">
        <v>29</v>
      </c>
      <c r="B171" s="4">
        <v>9013054</v>
      </c>
      <c r="C171" s="4">
        <v>9013054</v>
      </c>
      <c r="D171" s="4" t="s">
        <v>183</v>
      </c>
      <c r="E171" s="4" t="s">
        <v>99</v>
      </c>
      <c r="F171" s="4" t="s">
        <v>333</v>
      </c>
      <c r="G171" s="5">
        <v>26428</v>
      </c>
      <c r="H171" s="4">
        <f>DAY(G171)</f>
        <v>9</v>
      </c>
      <c r="I171" s="4">
        <f>MONTH(G171)</f>
        <v>5</v>
      </c>
      <c r="J171" s="4">
        <f>YEAR(G171)</f>
        <v>1972</v>
      </c>
      <c r="K171" s="6">
        <v>7205096100068</v>
      </c>
      <c r="L171" s="5">
        <v>42887</v>
      </c>
      <c r="M171" s="5">
        <v>45474</v>
      </c>
      <c r="N171" s="5">
        <v>45838</v>
      </c>
      <c r="O171" s="4">
        <v>1560.63</v>
      </c>
      <c r="P171" s="4">
        <v>1</v>
      </c>
      <c r="Q171" s="4" t="s">
        <v>33</v>
      </c>
      <c r="R171" s="4" t="s">
        <v>34</v>
      </c>
      <c r="S171" s="4">
        <v>660564</v>
      </c>
      <c r="T171" s="4">
        <v>9110003210505</v>
      </c>
      <c r="U171" s="4">
        <v>0</v>
      </c>
      <c r="V171" s="4">
        <v>0</v>
      </c>
      <c r="W171" s="4">
        <v>0</v>
      </c>
      <c r="X171" s="4">
        <v>0</v>
      </c>
      <c r="Y171" s="4">
        <v>1560.63</v>
      </c>
      <c r="Z171" s="4">
        <v>1560.63</v>
      </c>
      <c r="AA171" s="4" t="s">
        <v>35</v>
      </c>
    </row>
    <row r="172" spans="1:28" x14ac:dyDescent="0.3">
      <c r="A172" s="4" t="s">
        <v>29</v>
      </c>
      <c r="B172" s="4">
        <v>9106189</v>
      </c>
      <c r="C172" s="4">
        <v>9106189</v>
      </c>
      <c r="D172" s="4" t="s">
        <v>334</v>
      </c>
      <c r="E172" s="4" t="s">
        <v>151</v>
      </c>
      <c r="F172" s="4" t="s">
        <v>335</v>
      </c>
      <c r="G172" s="5">
        <v>28982</v>
      </c>
      <c r="H172" s="4">
        <f>DAY(G172)</f>
        <v>7</v>
      </c>
      <c r="I172" s="4">
        <f>MONTH(G172)</f>
        <v>5</v>
      </c>
      <c r="J172" s="4">
        <f>YEAR(G172)</f>
        <v>1979</v>
      </c>
      <c r="K172" s="6">
        <v>7905071100021</v>
      </c>
      <c r="L172" s="5">
        <v>45597</v>
      </c>
      <c r="M172" s="5">
        <v>45597</v>
      </c>
      <c r="N172" s="5">
        <v>45838</v>
      </c>
      <c r="O172" s="4">
        <v>3605.39</v>
      </c>
      <c r="P172" s="4">
        <v>1</v>
      </c>
      <c r="Q172" s="4" t="s">
        <v>33</v>
      </c>
      <c r="R172" s="4" t="s">
        <v>34</v>
      </c>
      <c r="S172" s="4">
        <v>660564</v>
      </c>
      <c r="T172" s="4">
        <v>9110006621018</v>
      </c>
      <c r="U172" s="4">
        <v>0</v>
      </c>
      <c r="V172" s="4">
        <v>0</v>
      </c>
      <c r="W172" s="4">
        <v>0</v>
      </c>
      <c r="X172" s="4">
        <v>37.74</v>
      </c>
      <c r="Y172" s="4">
        <v>3605.39</v>
      </c>
      <c r="Z172" s="4">
        <v>3567.65</v>
      </c>
      <c r="AA172" s="4" t="s">
        <v>35</v>
      </c>
    </row>
    <row r="173" spans="1:28" x14ac:dyDescent="0.3">
      <c r="A173" s="4" t="s">
        <v>29</v>
      </c>
      <c r="B173" s="4">
        <v>9138315</v>
      </c>
      <c r="C173" s="4">
        <v>9138315</v>
      </c>
      <c r="D173" s="4" t="s">
        <v>98</v>
      </c>
      <c r="E173" s="4" t="s">
        <v>51</v>
      </c>
      <c r="F173" s="4" t="s">
        <v>336</v>
      </c>
      <c r="G173" s="5">
        <v>27539</v>
      </c>
      <c r="H173" s="4">
        <f>DAY(G173)</f>
        <v>25</v>
      </c>
      <c r="I173" s="4">
        <f>MONTH(G173)</f>
        <v>5</v>
      </c>
      <c r="J173" s="4">
        <f>YEAR(G173)</f>
        <v>1975</v>
      </c>
      <c r="K173" s="6">
        <v>7505256100786</v>
      </c>
      <c r="L173" s="5">
        <v>40544</v>
      </c>
      <c r="M173" s="5">
        <v>45474</v>
      </c>
      <c r="N173" s="5">
        <v>45838</v>
      </c>
      <c r="O173" s="4">
        <v>1920.57</v>
      </c>
      <c r="P173" s="4">
        <v>1</v>
      </c>
      <c r="Q173" s="4" t="s">
        <v>33</v>
      </c>
      <c r="R173" s="4" t="s">
        <v>34</v>
      </c>
      <c r="S173" s="4">
        <v>90001</v>
      </c>
      <c r="T173" s="4">
        <v>51000410393</v>
      </c>
      <c r="U173" s="4">
        <v>0</v>
      </c>
      <c r="V173" s="4">
        <v>0</v>
      </c>
      <c r="W173" s="4">
        <v>0</v>
      </c>
      <c r="X173" s="4">
        <v>0</v>
      </c>
      <c r="Y173" s="4">
        <v>1920.57</v>
      </c>
      <c r="Z173" s="4">
        <v>1920.57</v>
      </c>
      <c r="AA173" s="4" t="s">
        <v>35</v>
      </c>
      <c r="AB173" s="4" t="s">
        <v>36</v>
      </c>
    </row>
    <row r="174" spans="1:28" x14ac:dyDescent="0.3">
      <c r="A174" s="4" t="s">
        <v>29</v>
      </c>
      <c r="B174" s="4">
        <v>9190926</v>
      </c>
      <c r="C174" s="4">
        <v>9190926</v>
      </c>
      <c r="D174" s="4" t="s">
        <v>337</v>
      </c>
      <c r="E174" s="4" t="s">
        <v>146</v>
      </c>
      <c r="F174" s="4" t="s">
        <v>338</v>
      </c>
      <c r="G174" s="5">
        <v>28266</v>
      </c>
      <c r="H174" s="4">
        <f>DAY(G174)</f>
        <v>21</v>
      </c>
      <c r="I174" s="4">
        <f>MONTH(G174)</f>
        <v>5</v>
      </c>
      <c r="J174" s="4">
        <f>YEAR(G174)</f>
        <v>1977</v>
      </c>
      <c r="K174" s="6">
        <v>7505216100256</v>
      </c>
      <c r="L174" s="5">
        <v>40544</v>
      </c>
      <c r="M174" s="5">
        <v>45474</v>
      </c>
      <c r="N174" s="5">
        <v>45838</v>
      </c>
      <c r="O174" s="4">
        <v>1920.57</v>
      </c>
      <c r="P174" s="4">
        <v>1</v>
      </c>
      <c r="Q174" s="4" t="s">
        <v>33</v>
      </c>
      <c r="R174" s="4" t="s">
        <v>34</v>
      </c>
      <c r="S174" s="4">
        <v>770007</v>
      </c>
      <c r="T174" s="4">
        <v>2140125987401</v>
      </c>
      <c r="U174" s="4">
        <v>0</v>
      </c>
      <c r="V174" s="4">
        <v>0</v>
      </c>
      <c r="W174" s="4">
        <v>0</v>
      </c>
      <c r="X174" s="4">
        <v>0</v>
      </c>
      <c r="Y174" s="4">
        <v>1920.57</v>
      </c>
      <c r="Z174" s="4">
        <v>1920.57</v>
      </c>
      <c r="AA174" s="4" t="s">
        <v>35</v>
      </c>
      <c r="AB174" s="4" t="s">
        <v>36</v>
      </c>
    </row>
    <row r="175" spans="1:28" x14ac:dyDescent="0.3">
      <c r="A175" s="4" t="s">
        <v>29</v>
      </c>
      <c r="B175" s="4">
        <v>9426872</v>
      </c>
      <c r="C175" s="4">
        <v>9426872</v>
      </c>
      <c r="D175" s="4" t="s">
        <v>339</v>
      </c>
      <c r="E175" s="4" t="s">
        <v>99</v>
      </c>
      <c r="F175" s="4" t="s">
        <v>335</v>
      </c>
      <c r="G175" s="5">
        <v>29361</v>
      </c>
      <c r="H175" s="4">
        <f>DAY(G175)</f>
        <v>20</v>
      </c>
      <c r="I175" s="4">
        <f>MONTH(G175)</f>
        <v>5</v>
      </c>
      <c r="J175" s="4">
        <f>YEAR(G175)</f>
        <v>1980</v>
      </c>
      <c r="K175" s="6">
        <v>326001009426872</v>
      </c>
      <c r="L175" s="5">
        <v>45839</v>
      </c>
      <c r="M175" s="5">
        <v>45839</v>
      </c>
      <c r="O175" s="4">
        <v>1520.21</v>
      </c>
      <c r="P175" s="4">
        <v>1</v>
      </c>
      <c r="Q175" s="4" t="s">
        <v>33</v>
      </c>
      <c r="R175" s="4" t="s">
        <v>34</v>
      </c>
      <c r="S175" s="4">
        <v>281064</v>
      </c>
      <c r="T175" s="4">
        <v>62011754894</v>
      </c>
      <c r="U175" s="4">
        <v>0</v>
      </c>
      <c r="V175" s="4">
        <v>0</v>
      </c>
      <c r="W175" s="4">
        <v>0</v>
      </c>
      <c r="X175" s="4">
        <v>0</v>
      </c>
      <c r="Y175" s="4">
        <v>1520.21</v>
      </c>
      <c r="Z175" s="4">
        <v>1520.21</v>
      </c>
      <c r="AA175" s="4" t="s">
        <v>35</v>
      </c>
    </row>
    <row r="176" spans="1:28" x14ac:dyDescent="0.3">
      <c r="A176" s="4" t="s">
        <v>340</v>
      </c>
      <c r="B176" s="4">
        <v>101966517</v>
      </c>
      <c r="C176" s="4" t="s">
        <v>341</v>
      </c>
      <c r="D176" s="4" t="s">
        <v>183</v>
      </c>
      <c r="E176" s="4" t="s">
        <v>342</v>
      </c>
      <c r="F176" s="4" t="s">
        <v>343</v>
      </c>
      <c r="G176" s="5">
        <v>22063</v>
      </c>
      <c r="H176" s="4">
        <f>DAY(G176)</f>
        <v>27</v>
      </c>
      <c r="I176" s="4">
        <f>MONTH(G176)</f>
        <v>5</v>
      </c>
      <c r="J176" s="4">
        <f>YEAR(G176)</f>
        <v>1960</v>
      </c>
      <c r="K176" s="6">
        <v>6005276100016</v>
      </c>
      <c r="L176" s="5">
        <v>45261</v>
      </c>
      <c r="M176" s="5">
        <v>45474</v>
      </c>
      <c r="N176" s="5">
        <v>45838</v>
      </c>
      <c r="O176" s="4">
        <v>780.31</v>
      </c>
      <c r="P176" s="4">
        <v>1</v>
      </c>
      <c r="Q176" s="4" t="s">
        <v>33</v>
      </c>
      <c r="R176" s="4" t="s">
        <v>34</v>
      </c>
      <c r="S176" s="4">
        <v>770004</v>
      </c>
      <c r="T176" s="4">
        <v>77400915628</v>
      </c>
      <c r="U176" s="4">
        <v>0</v>
      </c>
      <c r="V176" s="4">
        <v>0</v>
      </c>
      <c r="W176" s="4">
        <v>0</v>
      </c>
      <c r="X176" s="4">
        <v>0</v>
      </c>
      <c r="Y176" s="4">
        <v>780.31</v>
      </c>
      <c r="Z176" s="4">
        <v>780.31</v>
      </c>
      <c r="AA176" s="4" t="s">
        <v>35</v>
      </c>
      <c r="AB176" s="4" t="s">
        <v>36</v>
      </c>
    </row>
    <row r="177" spans="1:28" x14ac:dyDescent="0.3">
      <c r="A177" s="4" t="s">
        <v>340</v>
      </c>
      <c r="B177" s="4">
        <v>14885</v>
      </c>
      <c r="C177" s="4" t="s">
        <v>344</v>
      </c>
      <c r="D177" s="4" t="s">
        <v>345</v>
      </c>
      <c r="E177" s="4" t="s">
        <v>346</v>
      </c>
      <c r="F177" s="4" t="s">
        <v>347</v>
      </c>
      <c r="G177" s="5">
        <v>26074</v>
      </c>
      <c r="H177" s="4">
        <f>DAY(G177)</f>
        <v>21</v>
      </c>
      <c r="I177" s="4">
        <f>MONTH(G177)</f>
        <v>5</v>
      </c>
      <c r="J177" s="4">
        <f>YEAR(G177)</f>
        <v>1971</v>
      </c>
      <c r="K177" s="6">
        <v>7105211100110</v>
      </c>
      <c r="L177" s="5">
        <v>38473</v>
      </c>
      <c r="M177" s="5">
        <v>45474</v>
      </c>
      <c r="N177" s="5">
        <v>45838</v>
      </c>
      <c r="O177" s="4">
        <v>708.48</v>
      </c>
      <c r="P177" s="4">
        <v>1</v>
      </c>
      <c r="Q177" s="4" t="s">
        <v>33</v>
      </c>
      <c r="R177" s="4" t="s">
        <v>34</v>
      </c>
      <c r="S177" s="4">
        <v>770005</v>
      </c>
      <c r="T177" s="4">
        <v>1140113871901</v>
      </c>
      <c r="U177" s="4">
        <v>0</v>
      </c>
      <c r="V177" s="4">
        <v>0</v>
      </c>
      <c r="W177" s="4">
        <v>0</v>
      </c>
      <c r="X177" s="4">
        <v>0</v>
      </c>
      <c r="Y177" s="4">
        <v>708.48</v>
      </c>
      <c r="Z177" s="4">
        <v>708.48</v>
      </c>
      <c r="AA177" s="4" t="s">
        <v>35</v>
      </c>
    </row>
    <row r="178" spans="1:28" x14ac:dyDescent="0.3">
      <c r="A178" s="4" t="s">
        <v>340</v>
      </c>
      <c r="B178" s="4">
        <v>153005</v>
      </c>
      <c r="C178" s="4" t="s">
        <v>348</v>
      </c>
      <c r="D178" s="4" t="s">
        <v>37</v>
      </c>
      <c r="E178" s="4" t="s">
        <v>140</v>
      </c>
      <c r="F178" s="4" t="s">
        <v>349</v>
      </c>
      <c r="G178" s="5">
        <v>26444</v>
      </c>
      <c r="H178" s="4">
        <f>DAY(G178)</f>
        <v>25</v>
      </c>
      <c r="I178" s="4">
        <f>MONTH(G178)</f>
        <v>5</v>
      </c>
      <c r="J178" s="4">
        <f>YEAR(G178)</f>
        <v>1972</v>
      </c>
      <c r="K178" s="6">
        <v>7205251100036</v>
      </c>
      <c r="L178" s="5">
        <v>40817</v>
      </c>
      <c r="M178" s="5">
        <v>45474</v>
      </c>
      <c r="N178" s="5">
        <v>45838</v>
      </c>
      <c r="O178" s="4">
        <v>7336.11</v>
      </c>
      <c r="P178" s="4">
        <v>1</v>
      </c>
      <c r="Q178" s="4" t="s">
        <v>33</v>
      </c>
      <c r="R178" s="4" t="s">
        <v>34</v>
      </c>
      <c r="S178" s="4">
        <v>360864</v>
      </c>
      <c r="T178" s="7" t="s">
        <v>350</v>
      </c>
      <c r="U178" s="4">
        <v>0</v>
      </c>
      <c r="V178" s="4">
        <v>0</v>
      </c>
      <c r="W178" s="4">
        <v>0</v>
      </c>
      <c r="X178" s="4">
        <v>783.88</v>
      </c>
      <c r="Y178" s="4">
        <v>7336.11</v>
      </c>
      <c r="Z178" s="4">
        <v>6552.23</v>
      </c>
      <c r="AA178" s="4" t="s">
        <v>35</v>
      </c>
    </row>
    <row r="179" spans="1:28" x14ac:dyDescent="0.3">
      <c r="A179" s="4" t="s">
        <v>340</v>
      </c>
      <c r="B179" s="4">
        <v>2032988</v>
      </c>
      <c r="C179" s="4" t="s">
        <v>351</v>
      </c>
      <c r="D179" s="4" t="s">
        <v>77</v>
      </c>
      <c r="E179" s="4" t="s">
        <v>352</v>
      </c>
      <c r="F179" s="4" t="s">
        <v>353</v>
      </c>
      <c r="G179" s="5">
        <v>18750</v>
      </c>
      <c r="H179" s="4">
        <f>DAY(G179)</f>
        <v>2</v>
      </c>
      <c r="I179" s="4">
        <f>MONTH(G179)</f>
        <v>5</v>
      </c>
      <c r="J179" s="4">
        <f>YEAR(G179)</f>
        <v>1951</v>
      </c>
      <c r="K179" s="6">
        <v>5105021100138</v>
      </c>
      <c r="L179" s="5">
        <v>42979</v>
      </c>
      <c r="M179" s="5">
        <v>45474</v>
      </c>
      <c r="N179" s="5">
        <v>45838</v>
      </c>
      <c r="O179" s="4">
        <v>960.29</v>
      </c>
      <c r="P179" s="4">
        <v>1</v>
      </c>
      <c r="Q179" s="4" t="s">
        <v>33</v>
      </c>
      <c r="R179" s="4" t="s">
        <v>34</v>
      </c>
      <c r="S179" s="4">
        <v>90001</v>
      </c>
      <c r="T179" s="4">
        <v>51001248549</v>
      </c>
      <c r="U179" s="4">
        <v>0</v>
      </c>
      <c r="V179" s="4">
        <v>0</v>
      </c>
      <c r="W179" s="4">
        <v>0</v>
      </c>
      <c r="X179" s="4">
        <v>0</v>
      </c>
      <c r="Y179" s="4">
        <v>960.29</v>
      </c>
      <c r="Z179" s="4">
        <v>960.29</v>
      </c>
      <c r="AA179" s="4" t="s">
        <v>35</v>
      </c>
    </row>
    <row r="180" spans="1:28" x14ac:dyDescent="0.3">
      <c r="A180" s="4" t="s">
        <v>340</v>
      </c>
      <c r="B180" s="4">
        <v>2046242</v>
      </c>
      <c r="C180" s="4" t="s">
        <v>354</v>
      </c>
      <c r="D180" s="4" t="s">
        <v>172</v>
      </c>
      <c r="E180" s="4" t="s">
        <v>355</v>
      </c>
      <c r="F180" s="4" t="s">
        <v>356</v>
      </c>
      <c r="G180" s="5">
        <v>18769</v>
      </c>
      <c r="H180" s="4">
        <f>DAY(G180)</f>
        <v>21</v>
      </c>
      <c r="I180" s="4">
        <f>MONTH(G180)</f>
        <v>5</v>
      </c>
      <c r="J180" s="4">
        <f>YEAR(G180)</f>
        <v>1951</v>
      </c>
      <c r="K180" s="6">
        <v>5105211100047</v>
      </c>
      <c r="L180" s="5">
        <v>44958</v>
      </c>
      <c r="M180" s="5">
        <v>45474</v>
      </c>
      <c r="N180" s="5">
        <v>45838</v>
      </c>
      <c r="O180" s="4">
        <v>4938.47</v>
      </c>
      <c r="P180" s="4">
        <v>1</v>
      </c>
      <c r="Q180" s="4" t="s">
        <v>33</v>
      </c>
      <c r="R180" s="4" t="s">
        <v>34</v>
      </c>
      <c r="S180" s="4">
        <v>282064</v>
      </c>
      <c r="T180" s="4">
        <v>57730030732</v>
      </c>
      <c r="U180" s="4">
        <v>0</v>
      </c>
      <c r="V180" s="4">
        <v>0</v>
      </c>
      <c r="W180" s="4">
        <v>0</v>
      </c>
      <c r="X180" s="4">
        <v>79.36</v>
      </c>
      <c r="Y180" s="4">
        <v>4938.47</v>
      </c>
      <c r="Z180" s="4">
        <v>4859.1099999999997</v>
      </c>
      <c r="AA180" s="4" t="s">
        <v>35</v>
      </c>
    </row>
    <row r="181" spans="1:28" x14ac:dyDescent="0.3">
      <c r="A181" s="4" t="s">
        <v>340</v>
      </c>
      <c r="B181" s="4">
        <v>218346</v>
      </c>
      <c r="C181" s="4" t="s">
        <v>357</v>
      </c>
      <c r="D181" s="4" t="s">
        <v>358</v>
      </c>
      <c r="E181" s="4" t="s">
        <v>359</v>
      </c>
      <c r="F181" s="4" t="s">
        <v>360</v>
      </c>
      <c r="G181" s="5">
        <v>21675</v>
      </c>
      <c r="H181" s="4">
        <f>DAY(G181)</f>
        <v>5</v>
      </c>
      <c r="I181" s="4">
        <f>MONTH(G181)</f>
        <v>5</v>
      </c>
      <c r="J181" s="4">
        <f>YEAR(G181)</f>
        <v>1959</v>
      </c>
      <c r="K181" s="6">
        <v>5905291100019</v>
      </c>
      <c r="L181" s="5">
        <v>38504</v>
      </c>
      <c r="M181" s="5">
        <v>45474</v>
      </c>
      <c r="N181" s="5">
        <v>45838</v>
      </c>
      <c r="O181" s="4">
        <v>3221.39</v>
      </c>
      <c r="P181" s="4">
        <v>1</v>
      </c>
      <c r="Q181" s="4" t="s">
        <v>33</v>
      </c>
      <c r="R181" s="4" t="s">
        <v>34</v>
      </c>
      <c r="S181" s="4">
        <v>90003</v>
      </c>
      <c r="T181" s="4">
        <v>51000357034</v>
      </c>
      <c r="U181" s="4">
        <v>0</v>
      </c>
      <c r="V181" s="4">
        <v>0</v>
      </c>
      <c r="W181" s="4">
        <v>0</v>
      </c>
      <c r="X181" s="4">
        <v>0</v>
      </c>
      <c r="Y181" s="4">
        <v>3221.39</v>
      </c>
      <c r="Z181" s="4">
        <v>3221.39</v>
      </c>
      <c r="AA181" s="4" t="s">
        <v>35</v>
      </c>
    </row>
    <row r="182" spans="1:28" x14ac:dyDescent="0.3">
      <c r="A182" s="4" t="s">
        <v>340</v>
      </c>
      <c r="B182" s="4">
        <v>23204</v>
      </c>
      <c r="C182" s="4" t="s">
        <v>361</v>
      </c>
      <c r="D182" s="4" t="s">
        <v>362</v>
      </c>
      <c r="E182" s="4" t="s">
        <v>363</v>
      </c>
      <c r="F182" s="4" t="s">
        <v>364</v>
      </c>
      <c r="G182" s="5">
        <v>23156</v>
      </c>
      <c r="H182" s="4">
        <f>DAY(G182)</f>
        <v>25</v>
      </c>
      <c r="I182" s="4">
        <f>MONTH(G182)</f>
        <v>5</v>
      </c>
      <c r="J182" s="4">
        <f>YEAR(G182)</f>
        <v>1963</v>
      </c>
      <c r="K182" s="6">
        <v>6305121100199</v>
      </c>
      <c r="L182" s="5">
        <v>38749</v>
      </c>
      <c r="M182" s="5">
        <v>45474</v>
      </c>
      <c r="N182" s="5">
        <v>45838</v>
      </c>
      <c r="O182" s="4">
        <v>3633.08</v>
      </c>
      <c r="P182" s="4">
        <v>1</v>
      </c>
      <c r="Q182" s="4" t="s">
        <v>33</v>
      </c>
      <c r="R182" s="4" t="s">
        <v>34</v>
      </c>
      <c r="S182" s="4">
        <v>770003</v>
      </c>
      <c r="T182" s="4">
        <v>3040121993601</v>
      </c>
      <c r="U182" s="4">
        <v>0</v>
      </c>
      <c r="V182" s="4">
        <v>0</v>
      </c>
      <c r="W182" s="4">
        <v>0</v>
      </c>
      <c r="X182" s="4">
        <v>0</v>
      </c>
      <c r="Y182" s="4">
        <v>3633.08</v>
      </c>
      <c r="Z182" s="4">
        <v>3633.08</v>
      </c>
      <c r="AA182" s="4" t="s">
        <v>35</v>
      </c>
    </row>
    <row r="183" spans="1:28" x14ac:dyDescent="0.3">
      <c r="A183" s="4" t="s">
        <v>340</v>
      </c>
      <c r="B183" s="4">
        <v>2441362</v>
      </c>
      <c r="C183" s="4" t="s">
        <v>365</v>
      </c>
      <c r="D183" s="4" t="s">
        <v>366</v>
      </c>
      <c r="E183" s="4" t="s">
        <v>367</v>
      </c>
      <c r="F183" s="4" t="s">
        <v>368</v>
      </c>
      <c r="G183" s="5">
        <v>28984</v>
      </c>
      <c r="H183" s="4">
        <f>DAY(G183)</f>
        <v>9</v>
      </c>
      <c r="I183" s="4">
        <f>MONTH(G183)</f>
        <v>5</v>
      </c>
      <c r="J183" s="4">
        <f>YEAR(G183)</f>
        <v>1979</v>
      </c>
      <c r="K183" s="6">
        <v>7905091100027</v>
      </c>
      <c r="L183" s="5">
        <v>40848</v>
      </c>
      <c r="M183" s="5">
        <v>45474</v>
      </c>
      <c r="N183" s="5">
        <v>45838</v>
      </c>
      <c r="O183" s="4">
        <v>652.95000000000005</v>
      </c>
      <c r="P183" s="4">
        <v>1</v>
      </c>
      <c r="Q183" s="4" t="s">
        <v>33</v>
      </c>
      <c r="R183" s="4" t="s">
        <v>34</v>
      </c>
      <c r="S183" s="4">
        <v>770012</v>
      </c>
      <c r="T183" s="4">
        <v>77027042413</v>
      </c>
      <c r="U183" s="4">
        <v>0</v>
      </c>
      <c r="V183" s="4">
        <v>0</v>
      </c>
      <c r="W183" s="4">
        <v>0</v>
      </c>
      <c r="X183" s="4">
        <v>0</v>
      </c>
      <c r="Y183" s="4">
        <v>652.95000000000005</v>
      </c>
      <c r="Z183" s="4">
        <v>652.95000000000005</v>
      </c>
      <c r="AA183" s="4" t="s">
        <v>35</v>
      </c>
    </row>
    <row r="184" spans="1:28" x14ac:dyDescent="0.3">
      <c r="A184" s="4" t="s">
        <v>340</v>
      </c>
      <c r="B184" s="4">
        <v>2745099</v>
      </c>
      <c r="C184" s="4" t="s">
        <v>369</v>
      </c>
      <c r="D184" s="4" t="s">
        <v>58</v>
      </c>
      <c r="E184" s="4" t="s">
        <v>370</v>
      </c>
      <c r="F184" s="4" t="s">
        <v>371</v>
      </c>
      <c r="G184" s="5">
        <v>32998</v>
      </c>
      <c r="H184" s="4">
        <f>DAY(G184)</f>
        <v>5</v>
      </c>
      <c r="I184" s="4">
        <f>MONTH(G184)</f>
        <v>5</v>
      </c>
      <c r="J184" s="4">
        <f>YEAR(G184)</f>
        <v>1990</v>
      </c>
      <c r="K184" s="6">
        <v>9005051101038</v>
      </c>
      <c r="L184" s="5">
        <v>43191</v>
      </c>
      <c r="M184" s="5">
        <v>45474</v>
      </c>
      <c r="N184" s="5">
        <v>45838</v>
      </c>
      <c r="O184" s="4">
        <v>659.87</v>
      </c>
      <c r="P184" s="4">
        <v>1</v>
      </c>
      <c r="Q184" s="4" t="s">
        <v>33</v>
      </c>
      <c r="R184" s="4" t="s">
        <v>34</v>
      </c>
      <c r="S184" s="4">
        <v>280164</v>
      </c>
      <c r="T184" s="4">
        <v>62397504898</v>
      </c>
      <c r="U184" s="4">
        <v>0</v>
      </c>
      <c r="V184" s="4">
        <v>0</v>
      </c>
      <c r="W184" s="4">
        <v>0</v>
      </c>
      <c r="X184" s="4">
        <v>0</v>
      </c>
      <c r="Y184" s="4">
        <v>659.87</v>
      </c>
      <c r="Z184" s="4">
        <v>659.87</v>
      </c>
      <c r="AA184" s="4" t="s">
        <v>35</v>
      </c>
    </row>
    <row r="185" spans="1:28" x14ac:dyDescent="0.3">
      <c r="A185" s="4" t="s">
        <v>340</v>
      </c>
      <c r="B185" s="4">
        <v>28413</v>
      </c>
      <c r="C185" s="4" t="s">
        <v>372</v>
      </c>
      <c r="D185" s="4" t="s">
        <v>317</v>
      </c>
      <c r="E185" s="4" t="s">
        <v>134</v>
      </c>
      <c r="F185" s="4" t="s">
        <v>373</v>
      </c>
      <c r="G185" s="5">
        <v>19125</v>
      </c>
      <c r="H185" s="4">
        <f>DAY(G185)</f>
        <v>11</v>
      </c>
      <c r="I185" s="4">
        <f>MONTH(G185)</f>
        <v>5</v>
      </c>
      <c r="J185" s="4">
        <f>YEAR(G185)</f>
        <v>1952</v>
      </c>
      <c r="K185" s="6">
        <v>5203111100025</v>
      </c>
      <c r="L185" s="5">
        <v>38200</v>
      </c>
      <c r="M185" s="5">
        <v>45474</v>
      </c>
      <c r="N185" s="5">
        <v>45838</v>
      </c>
      <c r="O185" s="4">
        <v>1893.77</v>
      </c>
      <c r="P185" s="4">
        <v>1</v>
      </c>
      <c r="Q185" s="4" t="s">
        <v>33</v>
      </c>
      <c r="R185" s="4" t="s">
        <v>34</v>
      </c>
      <c r="S185" s="4">
        <v>770002</v>
      </c>
      <c r="T185" s="4">
        <v>2040111746601</v>
      </c>
      <c r="U185" s="4">
        <v>0</v>
      </c>
      <c r="V185" s="4">
        <v>0</v>
      </c>
      <c r="W185" s="4">
        <v>0</v>
      </c>
      <c r="X185" s="4">
        <v>0</v>
      </c>
      <c r="Y185" s="4">
        <v>1893.77</v>
      </c>
      <c r="Z185" s="4">
        <v>1893.77</v>
      </c>
      <c r="AA185" s="4" t="s">
        <v>35</v>
      </c>
      <c r="AB185" s="4" t="s">
        <v>36</v>
      </c>
    </row>
    <row r="186" spans="1:28" x14ac:dyDescent="0.3">
      <c r="A186" s="4" t="s">
        <v>340</v>
      </c>
      <c r="B186" s="4">
        <v>28513</v>
      </c>
      <c r="C186" s="4" t="s">
        <v>374</v>
      </c>
      <c r="D186" s="4" t="s">
        <v>337</v>
      </c>
      <c r="E186" s="4" t="s">
        <v>38</v>
      </c>
      <c r="F186" s="4" t="s">
        <v>284</v>
      </c>
      <c r="G186" s="5">
        <v>17658</v>
      </c>
      <c r="H186" s="4">
        <f>DAY(G186)</f>
        <v>5</v>
      </c>
      <c r="I186" s="4">
        <f>MONTH(G186)</f>
        <v>5</v>
      </c>
      <c r="J186" s="4">
        <f>YEAR(G186)</f>
        <v>1948</v>
      </c>
      <c r="K186" s="6">
        <v>4805051100095</v>
      </c>
      <c r="L186" s="5">
        <v>38200</v>
      </c>
      <c r="M186" s="5">
        <v>45474</v>
      </c>
      <c r="N186" s="5">
        <v>45838</v>
      </c>
      <c r="O186" s="4">
        <v>1938.52</v>
      </c>
      <c r="P186" s="4">
        <v>1</v>
      </c>
      <c r="Q186" s="4" t="s">
        <v>33</v>
      </c>
      <c r="R186" s="4" t="s">
        <v>34</v>
      </c>
      <c r="S186" s="4">
        <v>660564</v>
      </c>
      <c r="T186" s="4">
        <v>9110002353981</v>
      </c>
      <c r="U186" s="4">
        <v>0</v>
      </c>
      <c r="V186" s="4">
        <v>0</v>
      </c>
      <c r="W186" s="4">
        <v>0</v>
      </c>
      <c r="X186" s="4">
        <v>0</v>
      </c>
      <c r="Y186" s="4">
        <v>1938.52</v>
      </c>
      <c r="Z186" s="4">
        <v>1938.52</v>
      </c>
      <c r="AA186" s="4" t="s">
        <v>35</v>
      </c>
    </row>
    <row r="187" spans="1:28" x14ac:dyDescent="0.3">
      <c r="A187" s="4" t="s">
        <v>340</v>
      </c>
      <c r="B187" s="4">
        <v>29220</v>
      </c>
      <c r="C187" s="4" t="s">
        <v>375</v>
      </c>
      <c r="D187" s="4" t="s">
        <v>274</v>
      </c>
      <c r="E187" s="4" t="s">
        <v>376</v>
      </c>
      <c r="F187" s="4" t="s">
        <v>377</v>
      </c>
      <c r="G187" s="5">
        <v>23137</v>
      </c>
      <c r="H187" s="4">
        <f>DAY(G187)</f>
        <v>6</v>
      </c>
      <c r="I187" s="4">
        <f>MONTH(G187)</f>
        <v>5</v>
      </c>
      <c r="J187" s="4">
        <f>YEAR(G187)</f>
        <v>1963</v>
      </c>
      <c r="K187" s="6">
        <v>6305061100290</v>
      </c>
      <c r="L187" s="5">
        <v>40210</v>
      </c>
      <c r="M187" s="5">
        <v>45474</v>
      </c>
      <c r="N187" s="5">
        <v>45838</v>
      </c>
      <c r="O187" s="4">
        <v>1064.0899999999999</v>
      </c>
      <c r="P187" s="4">
        <v>1</v>
      </c>
      <c r="Q187" s="4" t="s">
        <v>33</v>
      </c>
      <c r="R187" s="4" t="s">
        <v>34</v>
      </c>
      <c r="S187" s="4">
        <v>360264</v>
      </c>
      <c r="T187" s="7" t="s">
        <v>378</v>
      </c>
      <c r="U187" s="4">
        <v>0</v>
      </c>
      <c r="V187" s="4">
        <v>0</v>
      </c>
      <c r="W187" s="4">
        <v>0</v>
      </c>
      <c r="X187" s="4">
        <v>0</v>
      </c>
      <c r="Y187" s="4">
        <v>1064.0899999999999</v>
      </c>
      <c r="Z187" s="4">
        <v>1064.0899999999999</v>
      </c>
      <c r="AA187" s="4" t="s">
        <v>35</v>
      </c>
    </row>
    <row r="188" spans="1:28" x14ac:dyDescent="0.3">
      <c r="A188" s="4" t="s">
        <v>340</v>
      </c>
      <c r="B188" s="4">
        <v>300054</v>
      </c>
      <c r="C188" s="4" t="s">
        <v>379</v>
      </c>
      <c r="D188" s="4" t="s">
        <v>380</v>
      </c>
      <c r="E188" s="4" t="s">
        <v>38</v>
      </c>
      <c r="F188" s="4" t="s">
        <v>332</v>
      </c>
      <c r="G188" s="5">
        <v>24243</v>
      </c>
      <c r="H188" s="4">
        <f>DAY(G188)</f>
        <v>16</v>
      </c>
      <c r="I188" s="4">
        <f>MONTH(G188)</f>
        <v>5</v>
      </c>
      <c r="J188" s="4">
        <f>YEAR(G188)</f>
        <v>1966</v>
      </c>
      <c r="K188" s="6">
        <v>6605161100078</v>
      </c>
      <c r="L188" s="5">
        <v>38200</v>
      </c>
      <c r="M188" s="5">
        <v>45474</v>
      </c>
      <c r="N188" s="5">
        <v>45838</v>
      </c>
      <c r="O188" s="4">
        <v>811.04</v>
      </c>
      <c r="P188" s="4">
        <v>1</v>
      </c>
      <c r="Q188" s="4" t="s">
        <v>33</v>
      </c>
      <c r="R188" s="4" t="s">
        <v>34</v>
      </c>
      <c r="S188" s="4">
        <v>660564</v>
      </c>
      <c r="T188" s="4">
        <v>9110002653160</v>
      </c>
      <c r="U188" s="4">
        <v>0</v>
      </c>
      <c r="V188" s="4">
        <v>0</v>
      </c>
      <c r="W188" s="4">
        <v>0</v>
      </c>
      <c r="X188" s="4">
        <v>0</v>
      </c>
      <c r="Y188" s="4">
        <v>811.04</v>
      </c>
      <c r="Z188" s="4">
        <v>811.04</v>
      </c>
      <c r="AA188" s="4" t="s">
        <v>35</v>
      </c>
      <c r="AB188" s="4" t="s">
        <v>36</v>
      </c>
    </row>
    <row r="189" spans="1:28" x14ac:dyDescent="0.3">
      <c r="A189" s="4" t="s">
        <v>340</v>
      </c>
      <c r="B189" s="4">
        <v>30033</v>
      </c>
      <c r="C189" s="4" t="s">
        <v>381</v>
      </c>
      <c r="D189" s="4" t="s">
        <v>382</v>
      </c>
      <c r="E189" s="4" t="s">
        <v>106</v>
      </c>
      <c r="F189" s="4" t="s">
        <v>171</v>
      </c>
      <c r="G189" s="5">
        <v>26433</v>
      </c>
      <c r="H189" s="4">
        <f>DAY(G189)</f>
        <v>14</v>
      </c>
      <c r="I189" s="4">
        <f>MONTH(G189)</f>
        <v>5</v>
      </c>
      <c r="J189" s="4">
        <f>YEAR(G189)</f>
        <v>1972</v>
      </c>
      <c r="K189" s="6">
        <v>7205141100170</v>
      </c>
      <c r="L189" s="5">
        <v>38200</v>
      </c>
      <c r="M189" s="5">
        <v>45474</v>
      </c>
      <c r="N189" s="5">
        <v>45838</v>
      </c>
      <c r="O189" s="4">
        <v>1003.28</v>
      </c>
      <c r="P189" s="4">
        <v>1</v>
      </c>
      <c r="Q189" s="4" t="s">
        <v>33</v>
      </c>
      <c r="R189" s="4" t="s">
        <v>34</v>
      </c>
      <c r="S189" s="4">
        <v>90001</v>
      </c>
      <c r="T189" s="4">
        <v>51001373599</v>
      </c>
      <c r="U189" s="4">
        <v>0</v>
      </c>
      <c r="V189" s="4">
        <v>0</v>
      </c>
      <c r="W189" s="4">
        <v>0</v>
      </c>
      <c r="X189" s="4">
        <v>0</v>
      </c>
      <c r="Y189" s="4">
        <v>1003.28</v>
      </c>
      <c r="Z189" s="4">
        <v>1003.28</v>
      </c>
      <c r="AA189" s="4" t="s">
        <v>35</v>
      </c>
    </row>
    <row r="190" spans="1:28" x14ac:dyDescent="0.3">
      <c r="A190" s="4" t="s">
        <v>340</v>
      </c>
      <c r="B190" s="4">
        <v>301281</v>
      </c>
      <c r="C190" s="4" t="s">
        <v>383</v>
      </c>
      <c r="D190" s="4" t="s">
        <v>224</v>
      </c>
      <c r="E190" s="4" t="s">
        <v>157</v>
      </c>
      <c r="F190" s="4" t="s">
        <v>291</v>
      </c>
      <c r="G190" s="5">
        <v>23522</v>
      </c>
      <c r="H190" s="4">
        <f>DAY(G190)</f>
        <v>25</v>
      </c>
      <c r="I190" s="4">
        <f>MONTH(G190)</f>
        <v>5</v>
      </c>
      <c r="J190" s="4">
        <f>YEAR(G190)</f>
        <v>1964</v>
      </c>
      <c r="K190" s="6">
        <v>6405251100132</v>
      </c>
      <c r="L190" s="5">
        <v>38200</v>
      </c>
      <c r="M190" s="5">
        <v>45474</v>
      </c>
      <c r="N190" s="5">
        <v>45838</v>
      </c>
      <c r="O190" s="4">
        <v>4076.59</v>
      </c>
      <c r="P190" s="4">
        <v>1</v>
      </c>
      <c r="Q190" s="4" t="s">
        <v>33</v>
      </c>
      <c r="R190" s="4" t="s">
        <v>34</v>
      </c>
      <c r="S190" s="4">
        <v>770001</v>
      </c>
      <c r="T190" s="4">
        <v>1040117642701</v>
      </c>
      <c r="U190" s="4">
        <v>0</v>
      </c>
      <c r="V190" s="4">
        <v>0</v>
      </c>
      <c r="W190" s="4">
        <v>0</v>
      </c>
      <c r="X190" s="4">
        <v>0</v>
      </c>
      <c r="Y190" s="4">
        <v>4076.59</v>
      </c>
      <c r="Z190" s="4">
        <v>4076.59</v>
      </c>
      <c r="AA190" s="4" t="s">
        <v>35</v>
      </c>
    </row>
    <row r="191" spans="1:28" x14ac:dyDescent="0.3">
      <c r="A191" s="4" t="s">
        <v>340</v>
      </c>
      <c r="B191" s="4">
        <v>301293</v>
      </c>
      <c r="C191" s="4" t="s">
        <v>384</v>
      </c>
      <c r="D191" s="4" t="s">
        <v>37</v>
      </c>
      <c r="E191" s="4" t="s">
        <v>385</v>
      </c>
      <c r="F191" s="4" t="s">
        <v>386</v>
      </c>
      <c r="G191" s="5">
        <v>24985</v>
      </c>
      <c r="H191" s="4">
        <f>DAY(G191)</f>
        <v>27</v>
      </c>
      <c r="I191" s="4">
        <f>MONTH(G191)</f>
        <v>5</v>
      </c>
      <c r="J191" s="4">
        <f>YEAR(G191)</f>
        <v>1968</v>
      </c>
      <c r="K191" s="6">
        <v>6805271100204</v>
      </c>
      <c r="L191" s="5">
        <v>41579</v>
      </c>
      <c r="M191" s="5">
        <v>45474</v>
      </c>
      <c r="N191" s="5">
        <v>45838</v>
      </c>
      <c r="O191" s="4">
        <v>960.28</v>
      </c>
      <c r="P191" s="4">
        <v>1</v>
      </c>
      <c r="Q191" s="4" t="s">
        <v>33</v>
      </c>
      <c r="R191" s="4" t="s">
        <v>34</v>
      </c>
      <c r="S191" s="4">
        <v>660564</v>
      </c>
      <c r="T191" s="4">
        <v>9110000032150</v>
      </c>
      <c r="U191" s="4">
        <v>0</v>
      </c>
      <c r="V191" s="4">
        <v>0</v>
      </c>
      <c r="W191" s="4">
        <v>0</v>
      </c>
      <c r="X191" s="4">
        <v>0</v>
      </c>
      <c r="Y191" s="4">
        <v>960.28</v>
      </c>
      <c r="Z191" s="4">
        <v>960.28</v>
      </c>
      <c r="AA191" s="4" t="s">
        <v>35</v>
      </c>
    </row>
    <row r="192" spans="1:28" x14ac:dyDescent="0.3">
      <c r="A192" s="4" t="s">
        <v>340</v>
      </c>
      <c r="B192" s="4">
        <v>301490</v>
      </c>
      <c r="C192" s="4" t="s">
        <v>387</v>
      </c>
      <c r="D192" s="4" t="s">
        <v>165</v>
      </c>
      <c r="E192" s="4" t="s">
        <v>142</v>
      </c>
      <c r="F192" s="4" t="s">
        <v>388</v>
      </c>
      <c r="G192" s="5">
        <v>27524</v>
      </c>
      <c r="H192" s="4">
        <f>DAY(G192)</f>
        <v>10</v>
      </c>
      <c r="I192" s="4">
        <f>MONTH(G192)</f>
        <v>5</v>
      </c>
      <c r="J192" s="4">
        <f>YEAR(G192)</f>
        <v>1975</v>
      </c>
      <c r="K192" s="6">
        <v>7605101100377</v>
      </c>
      <c r="L192" s="5">
        <v>38200</v>
      </c>
      <c r="M192" s="5">
        <v>45474</v>
      </c>
      <c r="N192" s="5">
        <v>45838</v>
      </c>
      <c r="O192" s="4">
        <v>811.04</v>
      </c>
      <c r="P192" s="4">
        <v>1</v>
      </c>
      <c r="Q192" s="4" t="s">
        <v>33</v>
      </c>
      <c r="R192" s="4" t="s">
        <v>34</v>
      </c>
      <c r="S192" s="4">
        <v>90001</v>
      </c>
      <c r="T192" s="4">
        <v>51000876333</v>
      </c>
      <c r="U192" s="4">
        <v>0</v>
      </c>
      <c r="V192" s="4">
        <v>0</v>
      </c>
      <c r="W192" s="4">
        <v>0</v>
      </c>
      <c r="X192" s="4">
        <v>0</v>
      </c>
      <c r="Y192" s="4">
        <v>811.04</v>
      </c>
      <c r="Z192" s="4">
        <v>811.04</v>
      </c>
      <c r="AA192" s="4" t="s">
        <v>35</v>
      </c>
    </row>
    <row r="193" spans="1:29" x14ac:dyDescent="0.3">
      <c r="A193" s="4" t="s">
        <v>340</v>
      </c>
      <c r="B193" s="4">
        <v>301714</v>
      </c>
      <c r="C193" s="4" t="s">
        <v>389</v>
      </c>
      <c r="D193" s="4" t="s">
        <v>37</v>
      </c>
      <c r="E193" s="4" t="s">
        <v>157</v>
      </c>
      <c r="F193" s="4" t="s">
        <v>390</v>
      </c>
      <c r="G193" s="5">
        <v>27168</v>
      </c>
      <c r="H193" s="4">
        <f>DAY(G193)</f>
        <v>19</v>
      </c>
      <c r="I193" s="4">
        <f>MONTH(G193)</f>
        <v>5</v>
      </c>
      <c r="J193" s="4">
        <f>YEAR(G193)</f>
        <v>1974</v>
      </c>
      <c r="K193" s="6">
        <v>7405191100134</v>
      </c>
      <c r="L193" s="5">
        <v>38200</v>
      </c>
      <c r="M193" s="5">
        <v>45474</v>
      </c>
      <c r="N193" s="5">
        <v>45838</v>
      </c>
      <c r="O193" s="4">
        <v>809.57</v>
      </c>
      <c r="P193" s="4">
        <v>1</v>
      </c>
      <c r="Q193" s="4" t="s">
        <v>33</v>
      </c>
      <c r="R193" s="4" t="s">
        <v>34</v>
      </c>
      <c r="S193" s="4">
        <v>90001</v>
      </c>
      <c r="T193" s="4">
        <v>51000422928</v>
      </c>
      <c r="U193" s="4">
        <v>0</v>
      </c>
      <c r="V193" s="4">
        <v>0</v>
      </c>
      <c r="W193" s="4">
        <v>0</v>
      </c>
      <c r="X193" s="4">
        <v>0</v>
      </c>
      <c r="Y193" s="4">
        <v>809.57</v>
      </c>
      <c r="Z193" s="4">
        <v>809.57</v>
      </c>
      <c r="AA193" s="4" t="s">
        <v>35</v>
      </c>
      <c r="AB193" s="4" t="s">
        <v>36</v>
      </c>
    </row>
    <row r="194" spans="1:29" x14ac:dyDescent="0.3">
      <c r="A194" s="4" t="s">
        <v>340</v>
      </c>
      <c r="B194" s="4">
        <v>302121</v>
      </c>
      <c r="C194" s="4" t="s">
        <v>391</v>
      </c>
      <c r="D194" s="4" t="s">
        <v>37</v>
      </c>
      <c r="E194" s="4" t="s">
        <v>103</v>
      </c>
      <c r="F194" s="4" t="s">
        <v>392</v>
      </c>
      <c r="G194" s="5">
        <v>25347</v>
      </c>
      <c r="H194" s="4">
        <f>DAY(G194)</f>
        <v>24</v>
      </c>
      <c r="I194" s="4">
        <f>MONTH(G194)</f>
        <v>5</v>
      </c>
      <c r="J194" s="4">
        <f>YEAR(G194)</f>
        <v>1969</v>
      </c>
      <c r="K194" s="6">
        <v>6804241100089</v>
      </c>
      <c r="L194" s="5">
        <v>38200</v>
      </c>
      <c r="M194" s="5">
        <v>45474</v>
      </c>
      <c r="N194" s="5">
        <v>45838</v>
      </c>
      <c r="O194" s="4">
        <v>1740.02</v>
      </c>
      <c r="P194" s="4">
        <v>1</v>
      </c>
      <c r="Q194" s="4" t="s">
        <v>33</v>
      </c>
      <c r="R194" s="4" t="s">
        <v>34</v>
      </c>
      <c r="S194" s="4">
        <v>281064</v>
      </c>
      <c r="T194" s="4">
        <v>60772016933</v>
      </c>
      <c r="U194" s="4">
        <v>0</v>
      </c>
      <c r="V194" s="4">
        <v>0</v>
      </c>
      <c r="W194" s="4">
        <v>0</v>
      </c>
      <c r="X194" s="4">
        <v>0</v>
      </c>
      <c r="Y194" s="4">
        <v>1740.02</v>
      </c>
      <c r="Z194" s="4">
        <v>1740.02</v>
      </c>
      <c r="AA194" s="4" t="s">
        <v>35</v>
      </c>
    </row>
    <row r="195" spans="1:29" x14ac:dyDescent="0.3">
      <c r="A195" s="4" t="s">
        <v>340</v>
      </c>
      <c r="B195" s="4">
        <v>3116661</v>
      </c>
      <c r="C195" s="4" t="s">
        <v>393</v>
      </c>
      <c r="D195" s="4" t="s">
        <v>61</v>
      </c>
      <c r="E195" s="4" t="s">
        <v>376</v>
      </c>
      <c r="F195" s="4" t="s">
        <v>66</v>
      </c>
      <c r="G195" s="5">
        <v>18754</v>
      </c>
      <c r="H195" s="4">
        <f>DAY(G195)</f>
        <v>6</v>
      </c>
      <c r="I195" s="4">
        <f>MONTH(G195)</f>
        <v>5</v>
      </c>
      <c r="J195" s="4">
        <f>YEAR(G195)</f>
        <v>1951</v>
      </c>
      <c r="K195" s="6">
        <v>5105066100019</v>
      </c>
      <c r="L195" s="5">
        <v>41487</v>
      </c>
      <c r="M195" s="5">
        <v>45474</v>
      </c>
      <c r="N195" s="5">
        <v>45838</v>
      </c>
      <c r="O195" s="4">
        <v>5789.75</v>
      </c>
      <c r="P195" s="4">
        <v>1</v>
      </c>
      <c r="Q195" s="4" t="s">
        <v>33</v>
      </c>
      <c r="R195" s="4" t="s">
        <v>34</v>
      </c>
      <c r="S195" s="4">
        <v>360164</v>
      </c>
      <c r="T195" s="7" t="s">
        <v>394</v>
      </c>
      <c r="U195" s="4">
        <v>0</v>
      </c>
      <c r="V195" s="4">
        <v>0</v>
      </c>
      <c r="W195" s="4">
        <v>0</v>
      </c>
      <c r="X195" s="4">
        <v>249.61</v>
      </c>
      <c r="Y195" s="4">
        <v>5789.75</v>
      </c>
      <c r="Z195" s="4">
        <v>5540.14</v>
      </c>
      <c r="AA195" s="4" t="s">
        <v>35</v>
      </c>
    </row>
    <row r="196" spans="1:29" x14ac:dyDescent="0.3">
      <c r="A196" s="4" t="s">
        <v>340</v>
      </c>
      <c r="B196" s="4">
        <v>31171</v>
      </c>
      <c r="C196" s="4" t="s">
        <v>395</v>
      </c>
      <c r="D196" s="4" t="s">
        <v>105</v>
      </c>
      <c r="E196" s="4" t="s">
        <v>396</v>
      </c>
      <c r="F196" s="4" t="s">
        <v>397</v>
      </c>
      <c r="G196" s="5">
        <v>14746</v>
      </c>
      <c r="H196" s="4">
        <f>DAY(G196)</f>
        <v>15</v>
      </c>
      <c r="I196" s="4">
        <f>MONTH(G196)</f>
        <v>5</v>
      </c>
      <c r="J196" s="4">
        <f>YEAR(G196)</f>
        <v>1940</v>
      </c>
      <c r="K196" s="6">
        <v>4005151100034</v>
      </c>
      <c r="L196" s="5">
        <v>38991</v>
      </c>
      <c r="M196" s="5">
        <v>45474</v>
      </c>
      <c r="N196" s="5">
        <v>45838</v>
      </c>
      <c r="O196" s="4">
        <v>974.59</v>
      </c>
      <c r="P196" s="4">
        <v>1</v>
      </c>
      <c r="Q196" s="4" t="s">
        <v>33</v>
      </c>
      <c r="R196" s="4" t="s">
        <v>34</v>
      </c>
      <c r="S196" s="4">
        <v>90004</v>
      </c>
      <c r="T196" s="4">
        <v>51000315579</v>
      </c>
      <c r="U196" s="4">
        <v>0</v>
      </c>
      <c r="V196" s="4">
        <v>0</v>
      </c>
      <c r="W196" s="4">
        <v>0</v>
      </c>
      <c r="X196" s="4">
        <v>0</v>
      </c>
      <c r="Y196" s="4">
        <v>974.59</v>
      </c>
      <c r="Z196" s="4">
        <v>974.59</v>
      </c>
      <c r="AA196" s="4" t="s">
        <v>35</v>
      </c>
    </row>
    <row r="197" spans="1:29" x14ac:dyDescent="0.3">
      <c r="A197" s="4" t="s">
        <v>340</v>
      </c>
      <c r="B197" s="4">
        <v>31292</v>
      </c>
      <c r="C197" s="4" t="s">
        <v>398</v>
      </c>
      <c r="D197" s="4" t="s">
        <v>192</v>
      </c>
      <c r="E197" s="4" t="s">
        <v>399</v>
      </c>
      <c r="F197" s="4" t="s">
        <v>78</v>
      </c>
      <c r="G197" s="5">
        <v>24968</v>
      </c>
      <c r="H197" s="4">
        <f>DAY(G197)</f>
        <v>10</v>
      </c>
      <c r="I197" s="4">
        <f>MONTH(G197)</f>
        <v>5</v>
      </c>
      <c r="J197" s="4">
        <f>YEAR(G197)</f>
        <v>1968</v>
      </c>
      <c r="K197" s="6">
        <v>4001011105578</v>
      </c>
      <c r="L197" s="5">
        <v>38808</v>
      </c>
      <c r="M197" s="5">
        <v>45474</v>
      </c>
      <c r="N197" s="5">
        <v>45838</v>
      </c>
      <c r="O197" s="4">
        <v>811.04</v>
      </c>
      <c r="P197" s="4">
        <v>1</v>
      </c>
      <c r="Q197" s="4" t="s">
        <v>33</v>
      </c>
      <c r="R197" s="4" t="s">
        <v>34</v>
      </c>
      <c r="S197" s="4">
        <v>770004</v>
      </c>
      <c r="T197" s="4">
        <v>4040120390701</v>
      </c>
      <c r="U197" s="4">
        <v>0</v>
      </c>
      <c r="V197" s="4">
        <v>0</v>
      </c>
      <c r="W197" s="4">
        <v>0</v>
      </c>
      <c r="X197" s="4">
        <v>0</v>
      </c>
      <c r="Y197" s="4">
        <v>811.04</v>
      </c>
      <c r="Z197" s="4">
        <v>811.04</v>
      </c>
      <c r="AA197" s="4" t="s">
        <v>35</v>
      </c>
      <c r="AB197" s="4" t="s">
        <v>36</v>
      </c>
    </row>
    <row r="198" spans="1:29" x14ac:dyDescent="0.3">
      <c r="A198" s="4" t="s">
        <v>340</v>
      </c>
      <c r="B198" s="4">
        <v>3198799</v>
      </c>
      <c r="C198" s="4" t="s">
        <v>400</v>
      </c>
      <c r="D198" s="4" t="s">
        <v>222</v>
      </c>
      <c r="E198" s="4" t="s">
        <v>401</v>
      </c>
      <c r="F198" s="4" t="s">
        <v>402</v>
      </c>
      <c r="G198" s="5">
        <v>19853</v>
      </c>
      <c r="H198" s="4">
        <f>DAY(G198)</f>
        <v>9</v>
      </c>
      <c r="I198" s="4">
        <f>MONTH(G198)</f>
        <v>5</v>
      </c>
      <c r="J198" s="4">
        <f>YEAR(G198)</f>
        <v>1954</v>
      </c>
      <c r="K198" s="6">
        <v>5405096100025</v>
      </c>
      <c r="L198" s="5">
        <v>44348</v>
      </c>
      <c r="M198" s="5">
        <v>45474</v>
      </c>
      <c r="N198" s="5">
        <v>45838</v>
      </c>
      <c r="O198" s="4">
        <v>2823.71</v>
      </c>
      <c r="P198" s="4">
        <v>1</v>
      </c>
      <c r="Q198" s="4" t="s">
        <v>33</v>
      </c>
      <c r="R198" s="4" t="s">
        <v>34</v>
      </c>
      <c r="S198" s="4">
        <v>663164</v>
      </c>
      <c r="T198" s="4">
        <v>9110006123816</v>
      </c>
      <c r="U198" s="4">
        <v>0</v>
      </c>
      <c r="V198" s="4">
        <v>0</v>
      </c>
      <c r="W198" s="4">
        <v>0</v>
      </c>
      <c r="X198" s="4">
        <v>0</v>
      </c>
      <c r="Y198" s="4">
        <v>2823.71</v>
      </c>
      <c r="Z198" s="4">
        <v>2823.71</v>
      </c>
      <c r="AA198" s="4" t="s">
        <v>35</v>
      </c>
      <c r="AC198" s="4" t="s">
        <v>292</v>
      </c>
    </row>
    <row r="199" spans="1:29" x14ac:dyDescent="0.3">
      <c r="A199" s="4" t="s">
        <v>340</v>
      </c>
      <c r="B199" s="4">
        <v>3209019</v>
      </c>
      <c r="C199" s="4" t="s">
        <v>403</v>
      </c>
      <c r="D199" s="4" t="s">
        <v>37</v>
      </c>
      <c r="E199" s="4" t="s">
        <v>68</v>
      </c>
      <c r="F199" s="4" t="s">
        <v>404</v>
      </c>
      <c r="G199" s="5">
        <v>26795</v>
      </c>
      <c r="H199" s="4">
        <f>DAY(G199)</f>
        <v>11</v>
      </c>
      <c r="I199" s="4">
        <f>MONTH(G199)</f>
        <v>5</v>
      </c>
      <c r="J199" s="4">
        <f>YEAR(G199)</f>
        <v>1973</v>
      </c>
      <c r="K199" s="6">
        <v>7305121100289</v>
      </c>
      <c r="L199" s="5">
        <v>45505</v>
      </c>
      <c r="M199" s="5">
        <v>45505</v>
      </c>
      <c r="N199" s="5">
        <v>45838</v>
      </c>
      <c r="O199" s="4">
        <v>3884.34</v>
      </c>
      <c r="P199" s="4">
        <v>1</v>
      </c>
      <c r="Q199" s="4" t="s">
        <v>33</v>
      </c>
      <c r="R199" s="4" t="s">
        <v>34</v>
      </c>
      <c r="S199" s="4">
        <v>90001</v>
      </c>
      <c r="T199" s="4">
        <v>51001634635</v>
      </c>
      <c r="U199" s="4">
        <v>0</v>
      </c>
      <c r="V199" s="4">
        <v>0</v>
      </c>
      <c r="W199" s="4">
        <v>0</v>
      </c>
      <c r="X199" s="4">
        <v>93.53</v>
      </c>
      <c r="Y199" s="4">
        <v>3884.34</v>
      </c>
      <c r="Z199" s="4">
        <v>3790.81</v>
      </c>
      <c r="AA199" s="4" t="s">
        <v>35</v>
      </c>
    </row>
    <row r="200" spans="1:29" x14ac:dyDescent="0.3">
      <c r="A200" s="4" t="s">
        <v>340</v>
      </c>
      <c r="B200" s="4">
        <v>3223231</v>
      </c>
      <c r="C200" s="4" t="s">
        <v>405</v>
      </c>
      <c r="D200" s="4" t="s">
        <v>406</v>
      </c>
      <c r="E200" s="4" t="s">
        <v>112</v>
      </c>
      <c r="F200" s="4" t="s">
        <v>407</v>
      </c>
      <c r="G200" s="5">
        <v>23884</v>
      </c>
      <c r="H200" s="4">
        <f>DAY(G200)</f>
        <v>22</v>
      </c>
      <c r="I200" s="4">
        <f>MONTH(G200)</f>
        <v>5</v>
      </c>
      <c r="J200" s="4">
        <f>YEAR(G200)</f>
        <v>1965</v>
      </c>
      <c r="K200" s="6">
        <v>6505221100300</v>
      </c>
      <c r="L200" s="5">
        <v>44075</v>
      </c>
      <c r="M200" s="5">
        <v>45474</v>
      </c>
      <c r="N200" s="5">
        <v>45838</v>
      </c>
      <c r="O200" s="4">
        <v>7525.18</v>
      </c>
      <c r="P200" s="4">
        <v>1</v>
      </c>
      <c r="Q200" s="4" t="s">
        <v>33</v>
      </c>
      <c r="R200" s="4" t="s">
        <v>34</v>
      </c>
      <c r="S200" s="4">
        <v>90001</v>
      </c>
      <c r="T200" s="4">
        <v>52000122760</v>
      </c>
      <c r="U200" s="4">
        <v>0</v>
      </c>
      <c r="V200" s="4">
        <v>0</v>
      </c>
      <c r="W200" s="4">
        <v>0</v>
      </c>
      <c r="X200" s="4">
        <v>596.70000000000005</v>
      </c>
      <c r="Y200" s="4">
        <v>7525.18</v>
      </c>
      <c r="Z200" s="4">
        <v>6928.48</v>
      </c>
      <c r="AA200" s="4" t="s">
        <v>35</v>
      </c>
    </row>
    <row r="201" spans="1:29" x14ac:dyDescent="0.3">
      <c r="A201" s="4" t="s">
        <v>340</v>
      </c>
      <c r="B201" s="4">
        <v>32392</v>
      </c>
      <c r="C201" s="4" t="s">
        <v>408</v>
      </c>
      <c r="D201" s="4" t="s">
        <v>274</v>
      </c>
      <c r="E201" s="4" t="s">
        <v>103</v>
      </c>
      <c r="F201" s="4" t="s">
        <v>392</v>
      </c>
      <c r="G201" s="5">
        <v>23502</v>
      </c>
      <c r="H201" s="4">
        <f>DAY(G201)</f>
        <v>5</v>
      </c>
      <c r="I201" s="4">
        <f>MONTH(G201)</f>
        <v>5</v>
      </c>
      <c r="J201" s="4">
        <f>YEAR(G201)</f>
        <v>1964</v>
      </c>
      <c r="K201" s="6">
        <v>6405051100027</v>
      </c>
      <c r="L201" s="5">
        <v>38200</v>
      </c>
      <c r="M201" s="5">
        <v>45474</v>
      </c>
      <c r="N201" s="5">
        <v>45838</v>
      </c>
      <c r="O201" s="4">
        <v>1128.6099999999999</v>
      </c>
      <c r="P201" s="4">
        <v>1</v>
      </c>
      <c r="Q201" s="4" t="s">
        <v>33</v>
      </c>
      <c r="R201" s="4" t="s">
        <v>34</v>
      </c>
      <c r="S201" s="4">
        <v>660964</v>
      </c>
      <c r="T201" s="4">
        <v>9110006593111</v>
      </c>
      <c r="U201" s="4">
        <v>0</v>
      </c>
      <c r="V201" s="4">
        <v>0</v>
      </c>
      <c r="W201" s="4">
        <v>0</v>
      </c>
      <c r="X201" s="4">
        <v>0</v>
      </c>
      <c r="Y201" s="4">
        <v>1128.6099999999999</v>
      </c>
      <c r="Z201" s="4">
        <v>1128.6099999999999</v>
      </c>
      <c r="AA201" s="4" t="s">
        <v>35</v>
      </c>
      <c r="AB201" s="4" t="s">
        <v>36</v>
      </c>
    </row>
    <row r="202" spans="1:29" x14ac:dyDescent="0.3">
      <c r="A202" s="4" t="s">
        <v>340</v>
      </c>
      <c r="B202" s="4">
        <v>34181</v>
      </c>
      <c r="C202" s="4" t="s">
        <v>409</v>
      </c>
      <c r="D202" s="4" t="s">
        <v>37</v>
      </c>
      <c r="E202" s="4" t="s">
        <v>157</v>
      </c>
      <c r="F202" s="4" t="s">
        <v>410</v>
      </c>
      <c r="G202" s="5">
        <v>10354</v>
      </c>
      <c r="H202" s="4">
        <f>DAY(G202)</f>
        <v>6</v>
      </c>
      <c r="I202" s="4">
        <f>MONTH(G202)</f>
        <v>5</v>
      </c>
      <c r="J202" s="4">
        <f>YEAR(G202)</f>
        <v>1928</v>
      </c>
      <c r="K202" s="6">
        <v>2805061100012</v>
      </c>
      <c r="L202" s="5">
        <v>43344</v>
      </c>
      <c r="M202" s="5">
        <v>45474</v>
      </c>
      <c r="N202" s="5">
        <v>45838</v>
      </c>
      <c r="O202" s="4">
        <v>786.63</v>
      </c>
      <c r="P202" s="4">
        <v>1</v>
      </c>
      <c r="Q202" s="4" t="s">
        <v>33</v>
      </c>
      <c r="R202" s="4" t="s">
        <v>34</v>
      </c>
      <c r="S202" s="4">
        <v>280164</v>
      </c>
      <c r="T202" s="4">
        <v>62773796423</v>
      </c>
      <c r="U202" s="4">
        <v>0</v>
      </c>
      <c r="V202" s="4">
        <v>0</v>
      </c>
      <c r="W202" s="4">
        <v>0</v>
      </c>
      <c r="X202" s="4">
        <v>0</v>
      </c>
      <c r="Y202" s="4">
        <v>786.63</v>
      </c>
      <c r="Z202" s="4">
        <v>786.63</v>
      </c>
      <c r="AA202" s="4" t="s">
        <v>35</v>
      </c>
      <c r="AB202" s="4" t="s">
        <v>36</v>
      </c>
    </row>
    <row r="203" spans="1:29" x14ac:dyDescent="0.3">
      <c r="A203" s="4" t="s">
        <v>340</v>
      </c>
      <c r="B203" s="4">
        <v>35655</v>
      </c>
      <c r="C203" s="4" t="s">
        <v>411</v>
      </c>
      <c r="D203" s="4" t="s">
        <v>139</v>
      </c>
      <c r="E203" s="4" t="s">
        <v>412</v>
      </c>
      <c r="F203" s="4" t="s">
        <v>158</v>
      </c>
      <c r="G203" s="5">
        <v>24233</v>
      </c>
      <c r="H203" s="4">
        <f>DAY(G203)</f>
        <v>6</v>
      </c>
      <c r="I203" s="4">
        <f>MONTH(G203)</f>
        <v>5</v>
      </c>
      <c r="J203" s="4">
        <f>YEAR(G203)</f>
        <v>1966</v>
      </c>
      <c r="K203" s="6">
        <v>6605061100327</v>
      </c>
      <c r="L203" s="5">
        <v>44805</v>
      </c>
      <c r="M203" s="5">
        <v>45474</v>
      </c>
      <c r="N203" s="5">
        <v>45838</v>
      </c>
      <c r="O203" s="4">
        <v>1584.1</v>
      </c>
      <c r="P203" s="4">
        <v>1</v>
      </c>
      <c r="Q203" s="4" t="s">
        <v>33</v>
      </c>
      <c r="R203" s="4" t="s">
        <v>34</v>
      </c>
      <c r="S203" s="4">
        <v>90008</v>
      </c>
      <c r="T203" s="4">
        <v>52000758975</v>
      </c>
      <c r="U203" s="4">
        <v>0</v>
      </c>
      <c r="V203" s="4">
        <v>0</v>
      </c>
      <c r="W203" s="4">
        <v>0</v>
      </c>
      <c r="X203" s="4">
        <v>0</v>
      </c>
      <c r="Y203" s="4">
        <v>1584.1</v>
      </c>
      <c r="Z203" s="4">
        <v>1584.1</v>
      </c>
      <c r="AA203" s="4" t="s">
        <v>35</v>
      </c>
    </row>
    <row r="204" spans="1:29" x14ac:dyDescent="0.3">
      <c r="A204" s="4" t="s">
        <v>340</v>
      </c>
      <c r="B204" s="4">
        <v>3572061</v>
      </c>
      <c r="C204" s="4" t="s">
        <v>413</v>
      </c>
      <c r="D204" s="4" t="s">
        <v>30</v>
      </c>
      <c r="E204" s="4" t="s">
        <v>414</v>
      </c>
      <c r="F204" s="4" t="s">
        <v>201</v>
      </c>
      <c r="G204" s="5">
        <v>24987</v>
      </c>
      <c r="H204" s="4">
        <f>DAY(G204)</f>
        <v>29</v>
      </c>
      <c r="I204" s="4">
        <f>MONTH(G204)</f>
        <v>5</v>
      </c>
      <c r="J204" s="4">
        <f>YEAR(G204)</f>
        <v>1968</v>
      </c>
      <c r="K204" s="6">
        <v>6805291100028</v>
      </c>
      <c r="L204" s="5">
        <v>41548</v>
      </c>
      <c r="M204" s="5">
        <v>45474</v>
      </c>
      <c r="N204" s="5">
        <v>45838</v>
      </c>
      <c r="O204" s="4">
        <v>925.86</v>
      </c>
      <c r="P204" s="4">
        <v>1</v>
      </c>
      <c r="Q204" s="4" t="s">
        <v>33</v>
      </c>
      <c r="R204" s="4" t="s">
        <v>34</v>
      </c>
      <c r="S204" s="4">
        <v>770001</v>
      </c>
      <c r="T204" s="4">
        <v>77014517329</v>
      </c>
      <c r="U204" s="4">
        <v>0</v>
      </c>
      <c r="V204" s="4">
        <v>0</v>
      </c>
      <c r="W204" s="4">
        <v>0</v>
      </c>
      <c r="X204" s="4">
        <v>0</v>
      </c>
      <c r="Y204" s="4">
        <v>925.86</v>
      </c>
      <c r="Z204" s="4">
        <v>925.86</v>
      </c>
      <c r="AA204" s="4" t="s">
        <v>35</v>
      </c>
      <c r="AB204" s="4" t="s">
        <v>36</v>
      </c>
    </row>
    <row r="205" spans="1:29" x14ac:dyDescent="0.3">
      <c r="A205" s="4" t="s">
        <v>340</v>
      </c>
      <c r="B205" s="4">
        <v>35752</v>
      </c>
      <c r="C205" s="4" t="s">
        <v>415</v>
      </c>
      <c r="D205" s="4" t="s">
        <v>192</v>
      </c>
      <c r="E205" s="4" t="s">
        <v>396</v>
      </c>
      <c r="F205" s="4" t="s">
        <v>193</v>
      </c>
      <c r="G205" s="5">
        <v>20581</v>
      </c>
      <c r="H205" s="4">
        <f>DAY(G205)</f>
        <v>6</v>
      </c>
      <c r="I205" s="4">
        <f>MONTH(G205)</f>
        <v>5</v>
      </c>
      <c r="J205" s="4">
        <f>YEAR(G205)</f>
        <v>1956</v>
      </c>
      <c r="K205" s="6">
        <v>5605061100039</v>
      </c>
      <c r="L205" s="5">
        <v>41183</v>
      </c>
      <c r="M205" s="5">
        <v>45474</v>
      </c>
      <c r="N205" s="5">
        <v>45838</v>
      </c>
      <c r="O205" s="4">
        <v>768.22</v>
      </c>
      <c r="P205" s="4">
        <v>1</v>
      </c>
      <c r="Q205" s="4" t="s">
        <v>33</v>
      </c>
      <c r="R205" s="4" t="s">
        <v>34</v>
      </c>
      <c r="S205" s="4">
        <v>90001</v>
      </c>
      <c r="T205" s="4">
        <v>51001074524</v>
      </c>
      <c r="U205" s="4">
        <v>0</v>
      </c>
      <c r="V205" s="4">
        <v>0</v>
      </c>
      <c r="W205" s="4">
        <v>0</v>
      </c>
      <c r="X205" s="4">
        <v>0</v>
      </c>
      <c r="Y205" s="4">
        <v>768.22</v>
      </c>
      <c r="Z205" s="4">
        <v>768.22</v>
      </c>
      <c r="AA205" s="4" t="s">
        <v>35</v>
      </c>
    </row>
    <row r="206" spans="1:29" x14ac:dyDescent="0.3">
      <c r="A206" s="4" t="s">
        <v>340</v>
      </c>
      <c r="B206" s="4">
        <v>36021</v>
      </c>
      <c r="C206" s="4" t="s">
        <v>416</v>
      </c>
      <c r="D206" s="4" t="s">
        <v>417</v>
      </c>
      <c r="E206" s="4" t="s">
        <v>418</v>
      </c>
      <c r="F206" s="4" t="s">
        <v>419</v>
      </c>
      <c r="G206" s="5">
        <v>12178</v>
      </c>
      <c r="H206" s="4">
        <f>DAY(G206)</f>
        <v>4</v>
      </c>
      <c r="I206" s="4">
        <f>MONTH(G206)</f>
        <v>5</v>
      </c>
      <c r="J206" s="4">
        <f>YEAR(G206)</f>
        <v>1933</v>
      </c>
      <c r="K206" s="6">
        <v>3305046200036</v>
      </c>
      <c r="L206" s="5">
        <v>44774</v>
      </c>
      <c r="M206" s="5">
        <v>45474</v>
      </c>
      <c r="N206" s="5">
        <v>45838</v>
      </c>
      <c r="O206" s="4">
        <v>923.35</v>
      </c>
      <c r="P206" s="4">
        <v>1</v>
      </c>
      <c r="Q206" s="4" t="s">
        <v>33</v>
      </c>
      <c r="R206" s="4" t="s">
        <v>34</v>
      </c>
      <c r="S206" s="4">
        <v>770008</v>
      </c>
      <c r="T206" s="4">
        <v>77400506507</v>
      </c>
      <c r="U206" s="4">
        <v>0</v>
      </c>
      <c r="V206" s="4">
        <v>0</v>
      </c>
      <c r="W206" s="4">
        <v>0</v>
      </c>
      <c r="X206" s="4">
        <v>0</v>
      </c>
      <c r="Y206" s="4">
        <v>923.35</v>
      </c>
      <c r="Z206" s="4">
        <v>923.35</v>
      </c>
      <c r="AA206" s="4" t="s">
        <v>35</v>
      </c>
    </row>
    <row r="207" spans="1:29" x14ac:dyDescent="0.3">
      <c r="A207" s="4" t="s">
        <v>340</v>
      </c>
      <c r="B207" s="4">
        <v>3612284</v>
      </c>
      <c r="C207" s="4" t="s">
        <v>420</v>
      </c>
      <c r="D207" s="4" t="s">
        <v>421</v>
      </c>
      <c r="E207" s="4" t="s">
        <v>157</v>
      </c>
      <c r="F207" s="4" t="s">
        <v>422</v>
      </c>
      <c r="G207" s="5">
        <v>20234</v>
      </c>
      <c r="H207" s="4">
        <f>DAY(G207)</f>
        <v>25</v>
      </c>
      <c r="I207" s="4">
        <f>MONTH(G207)</f>
        <v>5</v>
      </c>
      <c r="J207" s="4">
        <f>YEAR(G207)</f>
        <v>1955</v>
      </c>
      <c r="K207" s="6">
        <v>5505256100036</v>
      </c>
      <c r="L207" s="5">
        <v>45108</v>
      </c>
      <c r="M207" s="5">
        <v>45383</v>
      </c>
      <c r="N207" s="5">
        <v>45838</v>
      </c>
      <c r="O207" s="4">
        <v>1147.0899999999999</v>
      </c>
      <c r="P207" s="4">
        <v>1</v>
      </c>
      <c r="Q207" s="4" t="s">
        <v>33</v>
      </c>
      <c r="R207" s="4" t="s">
        <v>34</v>
      </c>
      <c r="S207" s="4">
        <v>360164</v>
      </c>
      <c r="T207" s="4">
        <v>20000030288</v>
      </c>
      <c r="U207" s="4">
        <v>0</v>
      </c>
      <c r="V207" s="4">
        <v>0</v>
      </c>
      <c r="W207" s="4">
        <v>0</v>
      </c>
      <c r="X207" s="4">
        <v>0</v>
      </c>
      <c r="Y207" s="4">
        <v>1147.0899999999999</v>
      </c>
      <c r="Z207" s="4">
        <v>1147.0899999999999</v>
      </c>
      <c r="AA207" s="4" t="s">
        <v>35</v>
      </c>
    </row>
    <row r="208" spans="1:29" x14ac:dyDescent="0.3">
      <c r="A208" s="4" t="s">
        <v>340</v>
      </c>
      <c r="B208" s="4">
        <v>36729</v>
      </c>
      <c r="C208" s="4" t="s">
        <v>423</v>
      </c>
      <c r="D208" s="4" t="s">
        <v>40</v>
      </c>
      <c r="E208" s="4" t="s">
        <v>231</v>
      </c>
      <c r="F208" s="4" t="s">
        <v>360</v>
      </c>
      <c r="G208" s="5">
        <v>15112</v>
      </c>
      <c r="H208" s="4">
        <f>DAY(G208)</f>
        <v>16</v>
      </c>
      <c r="I208" s="4">
        <f>MONTH(G208)</f>
        <v>5</v>
      </c>
      <c r="J208" s="4">
        <f>YEAR(G208)</f>
        <v>1941</v>
      </c>
      <c r="K208" s="6">
        <v>4105161100030</v>
      </c>
      <c r="L208" s="5">
        <v>41699</v>
      </c>
      <c r="M208" s="5">
        <v>45474</v>
      </c>
      <c r="N208" s="5">
        <v>45838</v>
      </c>
      <c r="O208" s="4">
        <v>1964.01</v>
      </c>
      <c r="P208" s="4">
        <v>1</v>
      </c>
      <c r="Q208" s="4" t="s">
        <v>33</v>
      </c>
      <c r="R208" s="4" t="s">
        <v>34</v>
      </c>
      <c r="S208" s="4">
        <v>90003</v>
      </c>
      <c r="T208" s="4">
        <v>51001909421</v>
      </c>
      <c r="U208" s="4">
        <v>0</v>
      </c>
      <c r="V208" s="4">
        <v>0</v>
      </c>
      <c r="W208" s="4">
        <v>0</v>
      </c>
      <c r="X208" s="4">
        <v>0</v>
      </c>
      <c r="Y208" s="4">
        <v>1964.01</v>
      </c>
      <c r="Z208" s="4">
        <v>1964.01</v>
      </c>
      <c r="AA208" s="4" t="s">
        <v>35</v>
      </c>
    </row>
    <row r="209" spans="1:29" x14ac:dyDescent="0.3">
      <c r="A209" s="4" t="s">
        <v>340</v>
      </c>
      <c r="B209" s="4">
        <v>3682603</v>
      </c>
      <c r="C209" s="4" t="s">
        <v>424</v>
      </c>
      <c r="D209" s="4" t="s">
        <v>196</v>
      </c>
      <c r="E209" s="4" t="s">
        <v>425</v>
      </c>
      <c r="F209" s="4" t="s">
        <v>110</v>
      </c>
      <c r="G209" s="5">
        <v>27894</v>
      </c>
      <c r="H209" s="4">
        <f>DAY(G209)</f>
        <v>14</v>
      </c>
      <c r="I209" s="4">
        <f>MONTH(G209)</f>
        <v>5</v>
      </c>
      <c r="J209" s="4">
        <f>YEAR(G209)</f>
        <v>1976</v>
      </c>
      <c r="K209" s="6">
        <v>7605411100411</v>
      </c>
      <c r="L209" s="5">
        <v>40483</v>
      </c>
      <c r="M209" s="5">
        <v>45474</v>
      </c>
      <c r="N209" s="5">
        <v>45838</v>
      </c>
      <c r="O209" s="4">
        <v>870.32</v>
      </c>
      <c r="P209" s="4">
        <v>1</v>
      </c>
      <c r="Q209" s="4" t="s">
        <v>33</v>
      </c>
      <c r="R209" s="4" t="s">
        <v>34</v>
      </c>
      <c r="S209" s="4">
        <v>90001</v>
      </c>
      <c r="T209" s="4">
        <v>51000055437</v>
      </c>
      <c r="U209" s="4">
        <v>0</v>
      </c>
      <c r="V209" s="4">
        <v>0</v>
      </c>
      <c r="W209" s="4">
        <v>0</v>
      </c>
      <c r="X209" s="4">
        <v>0</v>
      </c>
      <c r="Y209" s="4">
        <v>870.32</v>
      </c>
      <c r="Z209" s="4">
        <v>870.32</v>
      </c>
      <c r="AA209" s="4" t="s">
        <v>35</v>
      </c>
    </row>
    <row r="210" spans="1:29" x14ac:dyDescent="0.3">
      <c r="A210" s="4" t="s">
        <v>340</v>
      </c>
      <c r="B210" s="4">
        <v>4000569</v>
      </c>
      <c r="C210" s="4" t="s">
        <v>426</v>
      </c>
      <c r="D210" s="4" t="s">
        <v>37</v>
      </c>
      <c r="E210" s="4" t="s">
        <v>106</v>
      </c>
      <c r="F210" s="4" t="s">
        <v>201</v>
      </c>
      <c r="G210" s="5">
        <v>19859</v>
      </c>
      <c r="H210" s="4">
        <f>DAY(G210)</f>
        <v>15</v>
      </c>
      <c r="I210" s="4">
        <f>MONTH(G210)</f>
        <v>5</v>
      </c>
      <c r="J210" s="4">
        <f>YEAR(G210)</f>
        <v>1954</v>
      </c>
      <c r="K210" s="6">
        <v>5405151100068</v>
      </c>
      <c r="L210" s="5">
        <v>41334</v>
      </c>
      <c r="M210" s="5">
        <v>45474</v>
      </c>
      <c r="N210" s="5">
        <v>45838</v>
      </c>
      <c r="O210" s="4">
        <v>4933.5</v>
      </c>
      <c r="P210" s="4">
        <v>1</v>
      </c>
      <c r="Q210" s="4" t="s">
        <v>33</v>
      </c>
      <c r="R210" s="4" t="s">
        <v>34</v>
      </c>
      <c r="S210" s="4">
        <v>90003</v>
      </c>
      <c r="T210" s="4">
        <v>51000801627</v>
      </c>
      <c r="U210" s="4">
        <v>0</v>
      </c>
      <c r="V210" s="4">
        <v>0</v>
      </c>
      <c r="W210" s="4">
        <v>0</v>
      </c>
      <c r="X210" s="4">
        <v>78.36</v>
      </c>
      <c r="Y210" s="4">
        <v>4933.5</v>
      </c>
      <c r="Z210" s="4">
        <v>4855.1400000000003</v>
      </c>
      <c r="AA210" s="4" t="s">
        <v>35</v>
      </c>
    </row>
    <row r="211" spans="1:29" x14ac:dyDescent="0.3">
      <c r="A211" s="4" t="s">
        <v>340</v>
      </c>
      <c r="B211" s="4">
        <v>4030188</v>
      </c>
      <c r="C211" s="4" t="s">
        <v>427</v>
      </c>
      <c r="D211" s="4" t="s">
        <v>277</v>
      </c>
      <c r="E211" s="4" t="s">
        <v>428</v>
      </c>
      <c r="F211" s="4" t="s">
        <v>429</v>
      </c>
      <c r="G211" s="5">
        <v>20234</v>
      </c>
      <c r="H211" s="4">
        <f>DAY(G211)</f>
        <v>25</v>
      </c>
      <c r="I211" s="4">
        <f>MONTH(G211)</f>
        <v>5</v>
      </c>
      <c r="J211" s="4">
        <f>YEAR(G211)</f>
        <v>1955</v>
      </c>
      <c r="K211" s="6">
        <v>5505251100023</v>
      </c>
      <c r="L211" s="5">
        <v>43952</v>
      </c>
      <c r="M211" s="5">
        <v>45474</v>
      </c>
      <c r="N211" s="5">
        <v>45838</v>
      </c>
      <c r="O211" s="4">
        <v>7688.42</v>
      </c>
      <c r="P211" s="4">
        <v>1</v>
      </c>
      <c r="Q211" s="4" t="s">
        <v>33</v>
      </c>
      <c r="R211" s="4" t="s">
        <v>34</v>
      </c>
      <c r="S211" s="4">
        <v>660564</v>
      </c>
      <c r="T211" s="4">
        <v>9110004803550</v>
      </c>
      <c r="U211" s="4">
        <v>0</v>
      </c>
      <c r="V211" s="4">
        <v>0</v>
      </c>
      <c r="W211" s="4">
        <v>0</v>
      </c>
      <c r="X211" s="4">
        <v>629.35</v>
      </c>
      <c r="Y211" s="4">
        <v>7688.42</v>
      </c>
      <c r="Z211" s="4">
        <v>7059.07</v>
      </c>
      <c r="AA211" s="4" t="s">
        <v>35</v>
      </c>
      <c r="AB211" s="4" t="s">
        <v>36</v>
      </c>
    </row>
    <row r="212" spans="1:29" x14ac:dyDescent="0.3">
      <c r="A212" s="4" t="s">
        <v>340</v>
      </c>
      <c r="B212" s="4">
        <v>4136851</v>
      </c>
      <c r="C212" s="4" t="s">
        <v>430</v>
      </c>
      <c r="D212" s="4" t="s">
        <v>109</v>
      </c>
      <c r="E212" s="4" t="s">
        <v>431</v>
      </c>
      <c r="F212" s="4" t="s">
        <v>432</v>
      </c>
      <c r="G212" s="5">
        <v>27530</v>
      </c>
      <c r="H212" s="4">
        <f>DAY(G212)</f>
        <v>16</v>
      </c>
      <c r="I212" s="4">
        <f>MONTH(G212)</f>
        <v>5</v>
      </c>
      <c r="J212" s="4">
        <f>YEAR(G212)</f>
        <v>1975</v>
      </c>
      <c r="K212" s="6">
        <v>7505161100137</v>
      </c>
      <c r="L212" s="5">
        <v>39052</v>
      </c>
      <c r="M212" s="5">
        <v>45474</v>
      </c>
      <c r="N212" s="5">
        <v>45838</v>
      </c>
      <c r="O212" s="4">
        <v>1009.85</v>
      </c>
      <c r="P212" s="4">
        <v>1</v>
      </c>
      <c r="Q212" s="4" t="s">
        <v>33</v>
      </c>
      <c r="R212" s="4" t="s">
        <v>34</v>
      </c>
      <c r="S212" s="4">
        <v>770002</v>
      </c>
      <c r="T212" s="4">
        <v>2040120916701</v>
      </c>
      <c r="U212" s="4">
        <v>0</v>
      </c>
      <c r="V212" s="4">
        <v>0</v>
      </c>
      <c r="W212" s="4">
        <v>0</v>
      </c>
      <c r="X212" s="4">
        <v>0</v>
      </c>
      <c r="Y212" s="4">
        <v>1009.85</v>
      </c>
      <c r="Z212" s="4">
        <v>1009.85</v>
      </c>
      <c r="AA212" s="4" t="s">
        <v>35</v>
      </c>
    </row>
    <row r="213" spans="1:29" x14ac:dyDescent="0.3">
      <c r="A213" s="4" t="s">
        <v>340</v>
      </c>
      <c r="B213" s="4">
        <v>4292322</v>
      </c>
      <c r="C213" s="4" t="s">
        <v>433</v>
      </c>
      <c r="D213" s="4" t="s">
        <v>434</v>
      </c>
      <c r="E213" s="4" t="s">
        <v>63</v>
      </c>
      <c r="F213" s="4" t="s">
        <v>64</v>
      </c>
      <c r="G213" s="5">
        <v>18027</v>
      </c>
      <c r="H213" s="4">
        <f>DAY(G213)</f>
        <v>9</v>
      </c>
      <c r="I213" s="4">
        <f>MONTH(G213)</f>
        <v>5</v>
      </c>
      <c r="J213" s="4">
        <f>YEAR(G213)</f>
        <v>1949</v>
      </c>
      <c r="K213" s="6">
        <v>4905096100017</v>
      </c>
      <c r="L213" s="5">
        <v>44835</v>
      </c>
      <c r="M213" s="5">
        <v>45474</v>
      </c>
      <c r="N213" s="5">
        <v>45838</v>
      </c>
      <c r="O213" s="4">
        <v>7710.95</v>
      </c>
      <c r="P213" s="4">
        <v>1</v>
      </c>
      <c r="Q213" s="4" t="s">
        <v>33</v>
      </c>
      <c r="R213" s="4" t="s">
        <v>34</v>
      </c>
      <c r="S213" s="4">
        <v>360864</v>
      </c>
      <c r="T213" s="7" t="s">
        <v>435</v>
      </c>
      <c r="U213" s="4">
        <v>0</v>
      </c>
      <c r="V213" s="4">
        <v>0</v>
      </c>
      <c r="W213" s="4">
        <v>0</v>
      </c>
      <c r="X213" s="4">
        <v>633.85</v>
      </c>
      <c r="Y213" s="4">
        <v>7710.95</v>
      </c>
      <c r="Z213" s="4">
        <v>7077.1</v>
      </c>
      <c r="AA213" s="4" t="s">
        <v>35</v>
      </c>
      <c r="AC213" s="4" t="s">
        <v>292</v>
      </c>
    </row>
    <row r="214" spans="1:29" x14ac:dyDescent="0.3">
      <c r="A214" s="4" t="s">
        <v>340</v>
      </c>
      <c r="B214" s="4">
        <v>4317724</v>
      </c>
      <c r="C214" s="4" t="s">
        <v>436</v>
      </c>
      <c r="D214" s="4" t="s">
        <v>224</v>
      </c>
      <c r="E214" s="4" t="s">
        <v>38</v>
      </c>
      <c r="F214" s="4" t="s">
        <v>437</v>
      </c>
      <c r="G214" s="5">
        <v>20234</v>
      </c>
      <c r="H214" s="4">
        <f>DAY(G214)</f>
        <v>25</v>
      </c>
      <c r="I214" s="4">
        <f>MONTH(G214)</f>
        <v>5</v>
      </c>
      <c r="J214" s="4">
        <f>YEAR(G214)</f>
        <v>1955</v>
      </c>
      <c r="K214" s="6">
        <v>5505256100119</v>
      </c>
      <c r="L214" s="5">
        <v>43647</v>
      </c>
      <c r="M214" s="5">
        <v>45474</v>
      </c>
      <c r="N214" s="5">
        <v>45838</v>
      </c>
      <c r="O214" s="4">
        <v>3830.83</v>
      </c>
      <c r="P214" s="4">
        <v>1</v>
      </c>
      <c r="Q214" s="4" t="s">
        <v>33</v>
      </c>
      <c r="R214" s="4" t="s">
        <v>34</v>
      </c>
      <c r="S214" s="4">
        <v>90005</v>
      </c>
      <c r="T214" s="4">
        <v>51000888838</v>
      </c>
      <c r="U214" s="4">
        <v>0</v>
      </c>
      <c r="V214" s="4">
        <v>0</v>
      </c>
      <c r="W214" s="4">
        <v>0</v>
      </c>
      <c r="X214" s="4">
        <v>0</v>
      </c>
      <c r="Y214" s="4">
        <v>3830.83</v>
      </c>
      <c r="Z214" s="4">
        <v>3830.83</v>
      </c>
      <c r="AA214" s="4" t="s">
        <v>35</v>
      </c>
    </row>
    <row r="215" spans="1:29" x14ac:dyDescent="0.3">
      <c r="A215" s="4" t="s">
        <v>340</v>
      </c>
      <c r="B215" s="4">
        <v>4385725</v>
      </c>
      <c r="C215" s="4" t="s">
        <v>438</v>
      </c>
      <c r="D215" s="4" t="s">
        <v>44</v>
      </c>
      <c r="E215" s="4" t="s">
        <v>38</v>
      </c>
      <c r="F215" s="4" t="s">
        <v>301</v>
      </c>
      <c r="G215" s="5">
        <v>19869</v>
      </c>
      <c r="H215" s="4">
        <f>DAY(G215)</f>
        <v>25</v>
      </c>
      <c r="I215" s="4">
        <f>MONTH(G215)</f>
        <v>5</v>
      </c>
      <c r="J215" s="4">
        <f>YEAR(G215)</f>
        <v>1954</v>
      </c>
      <c r="K215" s="6">
        <v>5405256100039</v>
      </c>
      <c r="L215" s="5">
        <v>44713</v>
      </c>
      <c r="M215" s="5">
        <v>45474</v>
      </c>
      <c r="N215" s="5">
        <v>45838</v>
      </c>
      <c r="O215" s="4">
        <v>3455.43</v>
      </c>
      <c r="P215" s="4">
        <v>1</v>
      </c>
      <c r="Q215" s="4" t="s">
        <v>33</v>
      </c>
      <c r="R215" s="4" t="s">
        <v>34</v>
      </c>
      <c r="S215" s="4">
        <v>660964</v>
      </c>
      <c r="T215" s="4">
        <v>9110003609653</v>
      </c>
      <c r="U215" s="4">
        <v>0</v>
      </c>
      <c r="V215" s="4">
        <v>0</v>
      </c>
      <c r="W215" s="4">
        <v>0</v>
      </c>
      <c r="X215" s="4">
        <v>0</v>
      </c>
      <c r="Y215" s="4">
        <v>3455.43</v>
      </c>
      <c r="Z215" s="4">
        <v>3455.43</v>
      </c>
      <c r="AA215" s="4" t="s">
        <v>35</v>
      </c>
      <c r="AB215" s="4" t="s">
        <v>36</v>
      </c>
    </row>
    <row r="216" spans="1:29" x14ac:dyDescent="0.3">
      <c r="A216" s="4" t="s">
        <v>340</v>
      </c>
      <c r="B216" s="4">
        <v>4661322</v>
      </c>
      <c r="C216" s="4" t="s">
        <v>439</v>
      </c>
      <c r="D216" s="4" t="s">
        <v>440</v>
      </c>
      <c r="E216" s="4" t="s">
        <v>54</v>
      </c>
      <c r="F216" s="4" t="s">
        <v>121</v>
      </c>
      <c r="G216" s="5">
        <v>19126</v>
      </c>
      <c r="H216" s="4">
        <f>DAY(G216)</f>
        <v>12</v>
      </c>
      <c r="I216" s="4">
        <f>MONTH(G216)</f>
        <v>5</v>
      </c>
      <c r="J216" s="4">
        <f>YEAR(G216)</f>
        <v>1952</v>
      </c>
      <c r="K216" s="6">
        <v>5205126100056</v>
      </c>
      <c r="L216" s="5">
        <v>44531</v>
      </c>
      <c r="M216" s="5">
        <v>45474</v>
      </c>
      <c r="N216" s="5">
        <v>45838</v>
      </c>
      <c r="O216" s="4">
        <v>7194.43</v>
      </c>
      <c r="P216" s="4">
        <v>1</v>
      </c>
      <c r="Q216" s="4" t="s">
        <v>33</v>
      </c>
      <c r="R216" s="4" t="s">
        <v>34</v>
      </c>
      <c r="S216" s="4">
        <v>660564</v>
      </c>
      <c r="T216" s="4">
        <v>9110000015094</v>
      </c>
      <c r="U216" s="4">
        <v>0</v>
      </c>
      <c r="V216" s="4">
        <v>0</v>
      </c>
      <c r="W216" s="4">
        <v>0</v>
      </c>
      <c r="X216" s="4">
        <v>530.54999999999995</v>
      </c>
      <c r="Y216" s="4">
        <v>7194.43</v>
      </c>
      <c r="Z216" s="4">
        <v>6663.88</v>
      </c>
      <c r="AA216" s="4" t="s">
        <v>35</v>
      </c>
    </row>
    <row r="217" spans="1:29" x14ac:dyDescent="0.3">
      <c r="A217" s="4" t="s">
        <v>340</v>
      </c>
      <c r="B217" s="4">
        <v>4725262</v>
      </c>
      <c r="C217" s="4" t="s">
        <v>441</v>
      </c>
      <c r="D217" s="4" t="s">
        <v>37</v>
      </c>
      <c r="E217" s="4" t="s">
        <v>68</v>
      </c>
      <c r="F217" s="4" t="s">
        <v>442</v>
      </c>
      <c r="G217" s="5">
        <v>30457</v>
      </c>
      <c r="H217" s="4">
        <f>DAY(G217)</f>
        <v>21</v>
      </c>
      <c r="I217" s="4">
        <f>MONTH(G217)</f>
        <v>5</v>
      </c>
      <c r="J217" s="4">
        <f>YEAR(G217)</f>
        <v>1983</v>
      </c>
      <c r="K217" s="6">
        <v>8305211100107</v>
      </c>
      <c r="L217" s="5">
        <v>39661</v>
      </c>
      <c r="M217" s="5">
        <v>45474</v>
      </c>
      <c r="N217" s="5">
        <v>45838</v>
      </c>
      <c r="O217" s="4">
        <v>1193.6300000000001</v>
      </c>
      <c r="P217" s="4">
        <v>1</v>
      </c>
      <c r="Q217" s="4" t="s">
        <v>33</v>
      </c>
      <c r="R217" s="4" t="s">
        <v>34</v>
      </c>
      <c r="S217" s="4">
        <v>660564</v>
      </c>
      <c r="T217" s="4">
        <v>9110002961698</v>
      </c>
      <c r="U217" s="4">
        <v>0</v>
      </c>
      <c r="V217" s="4">
        <v>0</v>
      </c>
      <c r="W217" s="4">
        <v>0</v>
      </c>
      <c r="X217" s="4">
        <v>0</v>
      </c>
      <c r="Y217" s="4">
        <v>1193.6300000000001</v>
      </c>
      <c r="Z217" s="4">
        <v>1193.6300000000001</v>
      </c>
      <c r="AA217" s="4" t="s">
        <v>35</v>
      </c>
    </row>
    <row r="218" spans="1:29" x14ac:dyDescent="0.3">
      <c r="A218" s="4" t="s">
        <v>340</v>
      </c>
      <c r="B218" s="4">
        <v>5066768</v>
      </c>
      <c r="C218" s="4" t="s">
        <v>443</v>
      </c>
      <c r="D218" s="4" t="s">
        <v>244</v>
      </c>
      <c r="E218" s="4" t="s">
        <v>363</v>
      </c>
      <c r="F218" s="4" t="s">
        <v>444</v>
      </c>
      <c r="G218" s="5">
        <v>19874</v>
      </c>
      <c r="H218" s="4">
        <f>DAY(G218)</f>
        <v>30</v>
      </c>
      <c r="I218" s="4">
        <f>MONTH(G218)</f>
        <v>5</v>
      </c>
      <c r="J218" s="4">
        <f>YEAR(G218)</f>
        <v>1954</v>
      </c>
      <c r="K218" s="6">
        <v>5405301100075</v>
      </c>
      <c r="L218" s="5">
        <v>45413</v>
      </c>
      <c r="M218" s="5">
        <v>45413</v>
      </c>
      <c r="N218" s="5">
        <v>45838</v>
      </c>
      <c r="O218" s="4">
        <v>6028.1</v>
      </c>
      <c r="P218" s="4">
        <v>1</v>
      </c>
      <c r="Q218" s="4" t="s">
        <v>33</v>
      </c>
      <c r="R218" s="4" t="s">
        <v>34</v>
      </c>
      <c r="S218" s="4">
        <v>360164</v>
      </c>
      <c r="T218" s="4">
        <v>20000004775</v>
      </c>
      <c r="U218" s="4">
        <v>0</v>
      </c>
      <c r="V218" s="4">
        <v>0</v>
      </c>
      <c r="W218" s="4">
        <v>0</v>
      </c>
      <c r="X218" s="4">
        <v>297.27999999999997</v>
      </c>
      <c r="Y218" s="4">
        <v>6028.1</v>
      </c>
      <c r="Z218" s="4">
        <v>5730.82</v>
      </c>
      <c r="AA218" s="4" t="s">
        <v>35</v>
      </c>
      <c r="AB218" s="4" t="s">
        <v>36</v>
      </c>
    </row>
    <row r="219" spans="1:29" x14ac:dyDescent="0.3">
      <c r="A219" s="4" t="s">
        <v>340</v>
      </c>
      <c r="B219" s="4">
        <v>5324</v>
      </c>
      <c r="C219" s="4" t="s">
        <v>445</v>
      </c>
      <c r="D219" s="4" t="s">
        <v>133</v>
      </c>
      <c r="E219" s="4" t="s">
        <v>51</v>
      </c>
      <c r="F219" s="4" t="s">
        <v>446</v>
      </c>
      <c r="G219" s="5">
        <v>21691</v>
      </c>
      <c r="H219" s="4">
        <f>DAY(G219)</f>
        <v>21</v>
      </c>
      <c r="I219" s="4">
        <f>MONTH(G219)</f>
        <v>5</v>
      </c>
      <c r="J219" s="4">
        <f>YEAR(G219)</f>
        <v>1959</v>
      </c>
      <c r="K219" s="6">
        <v>6105216100066</v>
      </c>
      <c r="L219" s="5">
        <v>38132</v>
      </c>
      <c r="M219" s="5">
        <v>45474</v>
      </c>
      <c r="N219" s="5">
        <v>45838</v>
      </c>
      <c r="O219" s="4">
        <v>2429.7800000000002</v>
      </c>
      <c r="P219" s="4">
        <v>1</v>
      </c>
      <c r="Q219" s="4" t="s">
        <v>33</v>
      </c>
      <c r="R219" s="4" t="s">
        <v>34</v>
      </c>
      <c r="S219" s="4">
        <v>663164</v>
      </c>
      <c r="T219" s="4">
        <v>9110002421111</v>
      </c>
      <c r="U219" s="4">
        <v>0</v>
      </c>
      <c r="V219" s="4">
        <v>0</v>
      </c>
      <c r="W219" s="4">
        <v>0</v>
      </c>
      <c r="X219" s="4">
        <v>0</v>
      </c>
      <c r="Y219" s="4">
        <v>2429.7800000000002</v>
      </c>
      <c r="Z219" s="4">
        <v>2429.7800000000002</v>
      </c>
      <c r="AA219" s="4" t="s">
        <v>35</v>
      </c>
    </row>
    <row r="220" spans="1:29" x14ac:dyDescent="0.3">
      <c r="A220" s="4" t="s">
        <v>340</v>
      </c>
      <c r="B220" s="4">
        <v>55632</v>
      </c>
      <c r="C220" s="4" t="s">
        <v>447</v>
      </c>
      <c r="D220" s="4" t="s">
        <v>37</v>
      </c>
      <c r="E220" s="4" t="s">
        <v>448</v>
      </c>
      <c r="F220" s="4" t="s">
        <v>449</v>
      </c>
      <c r="G220" s="5">
        <v>23157</v>
      </c>
      <c r="H220" s="4">
        <f>DAY(G220)</f>
        <v>26</v>
      </c>
      <c r="I220" s="4">
        <f>MONTH(G220)</f>
        <v>5</v>
      </c>
      <c r="J220" s="4">
        <f>YEAR(G220)</f>
        <v>1963</v>
      </c>
      <c r="K220" s="6">
        <v>6305261100033</v>
      </c>
      <c r="L220" s="5">
        <v>41306</v>
      </c>
      <c r="M220" s="5">
        <v>45474</v>
      </c>
      <c r="N220" s="5">
        <v>45838</v>
      </c>
      <c r="O220" s="4">
        <v>941.33</v>
      </c>
      <c r="P220" s="4">
        <v>1</v>
      </c>
      <c r="Q220" s="4" t="s">
        <v>33</v>
      </c>
      <c r="R220" s="4" t="s">
        <v>34</v>
      </c>
      <c r="S220" s="4">
        <v>661164</v>
      </c>
      <c r="T220" s="4">
        <v>9110003155334</v>
      </c>
      <c r="U220" s="4">
        <v>0</v>
      </c>
      <c r="V220" s="4">
        <v>0</v>
      </c>
      <c r="W220" s="4">
        <v>0</v>
      </c>
      <c r="X220" s="4">
        <v>0</v>
      </c>
      <c r="Y220" s="4">
        <v>941.33</v>
      </c>
      <c r="Z220" s="4">
        <v>941.33</v>
      </c>
      <c r="AA220" s="4" t="s">
        <v>35</v>
      </c>
      <c r="AB220" s="4" t="s">
        <v>36</v>
      </c>
    </row>
    <row r="221" spans="1:29" x14ac:dyDescent="0.3">
      <c r="A221" s="4" t="s">
        <v>340</v>
      </c>
      <c r="B221" s="4">
        <v>6182793</v>
      </c>
      <c r="C221" s="4" t="s">
        <v>450</v>
      </c>
      <c r="D221" s="4" t="s">
        <v>451</v>
      </c>
      <c r="E221" s="4" t="s">
        <v>228</v>
      </c>
      <c r="F221" s="4" t="s">
        <v>452</v>
      </c>
      <c r="G221" s="5">
        <v>22416</v>
      </c>
      <c r="H221" s="4">
        <f>DAY(G221)</f>
        <v>15</v>
      </c>
      <c r="I221" s="4">
        <f>MONTH(G221)</f>
        <v>5</v>
      </c>
      <c r="J221" s="4">
        <f>YEAR(G221)</f>
        <v>1961</v>
      </c>
      <c r="K221" s="6">
        <v>6109151100057</v>
      </c>
      <c r="L221" s="5">
        <v>40330</v>
      </c>
      <c r="M221" s="5">
        <v>45474</v>
      </c>
      <c r="N221" s="5">
        <v>45838</v>
      </c>
      <c r="O221" s="4">
        <v>3473.93</v>
      </c>
      <c r="P221" s="4">
        <v>1</v>
      </c>
      <c r="Q221" s="4" t="s">
        <v>33</v>
      </c>
      <c r="R221" s="4" t="s">
        <v>34</v>
      </c>
      <c r="S221" s="4">
        <v>770001</v>
      </c>
      <c r="T221" s="4">
        <v>77022596119</v>
      </c>
      <c r="U221" s="4">
        <v>0</v>
      </c>
      <c r="V221" s="4">
        <v>0</v>
      </c>
      <c r="W221" s="4">
        <v>0</v>
      </c>
      <c r="X221" s="4">
        <v>0</v>
      </c>
      <c r="Y221" s="4">
        <v>3473.93</v>
      </c>
      <c r="Z221" s="4">
        <v>3473.93</v>
      </c>
      <c r="AA221" s="4" t="s">
        <v>35</v>
      </c>
    </row>
    <row r="222" spans="1:29" x14ac:dyDescent="0.3">
      <c r="A222" s="4" t="s">
        <v>340</v>
      </c>
      <c r="B222" s="4">
        <v>6203335</v>
      </c>
      <c r="C222" s="4" t="s">
        <v>453</v>
      </c>
      <c r="D222" s="4" t="s">
        <v>454</v>
      </c>
      <c r="E222" s="4" t="s">
        <v>455</v>
      </c>
      <c r="F222" s="4" t="s">
        <v>102</v>
      </c>
      <c r="G222" s="5">
        <v>16937</v>
      </c>
      <c r="H222" s="4">
        <f>DAY(G222)</f>
        <v>15</v>
      </c>
      <c r="I222" s="4">
        <f>MONTH(G222)</f>
        <v>5</v>
      </c>
      <c r="J222" s="4">
        <f>YEAR(G222)</f>
        <v>1946</v>
      </c>
      <c r="K222" s="6">
        <v>4605156100010</v>
      </c>
      <c r="L222" s="5">
        <v>44470</v>
      </c>
      <c r="M222" s="5">
        <v>45474</v>
      </c>
      <c r="N222" s="5">
        <v>45838</v>
      </c>
      <c r="O222" s="4">
        <v>2457.71</v>
      </c>
      <c r="P222" s="4">
        <v>1</v>
      </c>
      <c r="Q222" s="4" t="s">
        <v>33</v>
      </c>
      <c r="R222" s="4" t="s">
        <v>34</v>
      </c>
      <c r="S222" s="4">
        <v>360864</v>
      </c>
      <c r="T222" s="4">
        <v>60000008837</v>
      </c>
      <c r="U222" s="4">
        <v>0</v>
      </c>
      <c r="V222" s="4">
        <v>0</v>
      </c>
      <c r="W222" s="4">
        <v>0</v>
      </c>
      <c r="X222" s="4">
        <v>0</v>
      </c>
      <c r="Y222" s="4">
        <v>2457.71</v>
      </c>
      <c r="Z222" s="4">
        <v>2457.71</v>
      </c>
      <c r="AA222" s="4" t="s">
        <v>35</v>
      </c>
    </row>
    <row r="223" spans="1:29" x14ac:dyDescent="0.3">
      <c r="A223" s="4" t="s">
        <v>340</v>
      </c>
      <c r="B223" s="4">
        <v>6636443</v>
      </c>
      <c r="C223" s="4" t="s">
        <v>456</v>
      </c>
      <c r="D223" s="4" t="s">
        <v>457</v>
      </c>
      <c r="E223" s="4" t="s">
        <v>458</v>
      </c>
      <c r="F223" s="4" t="s">
        <v>459</v>
      </c>
      <c r="G223" s="5">
        <v>24602</v>
      </c>
      <c r="H223" s="4">
        <f>DAY(G223)</f>
        <v>10</v>
      </c>
      <c r="I223" s="4">
        <f>MONTH(G223)</f>
        <v>5</v>
      </c>
      <c r="J223" s="4">
        <f>YEAR(G223)</f>
        <v>1967</v>
      </c>
      <c r="K223" s="6">
        <v>6705101100111</v>
      </c>
      <c r="L223" s="5">
        <v>44348</v>
      </c>
      <c r="M223" s="5">
        <v>45474</v>
      </c>
      <c r="N223" s="5">
        <v>45838</v>
      </c>
      <c r="O223" s="4">
        <v>780.31</v>
      </c>
      <c r="P223" s="4">
        <v>1</v>
      </c>
      <c r="Q223" s="4" t="s">
        <v>33</v>
      </c>
      <c r="R223" s="4" t="s">
        <v>34</v>
      </c>
      <c r="S223" s="4">
        <v>90001</v>
      </c>
      <c r="T223" s="4">
        <v>52000242634</v>
      </c>
      <c r="U223" s="4">
        <v>0</v>
      </c>
      <c r="V223" s="4">
        <v>0</v>
      </c>
      <c r="W223" s="4">
        <v>0</v>
      </c>
      <c r="X223" s="4">
        <v>0</v>
      </c>
      <c r="Y223" s="4">
        <v>780.31</v>
      </c>
      <c r="Z223" s="4">
        <v>780.31</v>
      </c>
      <c r="AA223" s="4" t="s">
        <v>35</v>
      </c>
    </row>
    <row r="224" spans="1:29" x14ac:dyDescent="0.3">
      <c r="A224" s="4" t="s">
        <v>340</v>
      </c>
      <c r="B224" s="4">
        <v>7026861</v>
      </c>
      <c r="C224" s="4" t="s">
        <v>460</v>
      </c>
      <c r="D224" s="4" t="s">
        <v>37</v>
      </c>
      <c r="E224" s="4" t="s">
        <v>461</v>
      </c>
      <c r="F224" s="4" t="s">
        <v>462</v>
      </c>
      <c r="G224" s="5">
        <v>23161</v>
      </c>
      <c r="H224" s="4">
        <f>DAY(G224)</f>
        <v>30</v>
      </c>
      <c r="I224" s="4">
        <f>MONTH(G224)</f>
        <v>5</v>
      </c>
      <c r="J224" s="4">
        <f>YEAR(G224)</f>
        <v>1963</v>
      </c>
      <c r="K224" s="6">
        <v>6305301100076</v>
      </c>
      <c r="L224" s="5">
        <v>39448</v>
      </c>
      <c r="M224" s="5">
        <v>45474</v>
      </c>
      <c r="N224" s="5">
        <v>45838</v>
      </c>
      <c r="O224" s="4">
        <v>2076.25</v>
      </c>
      <c r="P224" s="4">
        <v>1</v>
      </c>
      <c r="Q224" s="4" t="s">
        <v>33</v>
      </c>
      <c r="R224" s="4" t="s">
        <v>34</v>
      </c>
      <c r="S224" s="4">
        <v>90004</v>
      </c>
      <c r="T224" s="4">
        <v>51000319582</v>
      </c>
      <c r="U224" s="4">
        <v>0</v>
      </c>
      <c r="V224" s="4">
        <v>0</v>
      </c>
      <c r="W224" s="4">
        <v>0</v>
      </c>
      <c r="X224" s="4">
        <v>0</v>
      </c>
      <c r="Y224" s="4">
        <v>2076.25</v>
      </c>
      <c r="Z224" s="4">
        <v>2076.25</v>
      </c>
      <c r="AA224" s="4" t="s">
        <v>35</v>
      </c>
    </row>
    <row r="225" spans="1:28" x14ac:dyDescent="0.3">
      <c r="A225" s="4" t="s">
        <v>340</v>
      </c>
      <c r="B225" s="4">
        <v>7029682</v>
      </c>
      <c r="C225" s="4" t="s">
        <v>463</v>
      </c>
      <c r="D225" s="4" t="s">
        <v>74</v>
      </c>
      <c r="E225" s="4" t="s">
        <v>464</v>
      </c>
      <c r="F225" s="4" t="s">
        <v>144</v>
      </c>
      <c r="G225" s="5">
        <v>21308</v>
      </c>
      <c r="H225" s="4">
        <f>DAY(G225)</f>
        <v>3</v>
      </c>
      <c r="I225" s="4">
        <f>MONTH(G225)</f>
        <v>5</v>
      </c>
      <c r="J225" s="4">
        <f>YEAR(G225)</f>
        <v>1958</v>
      </c>
      <c r="K225" s="6">
        <v>5805031100040</v>
      </c>
      <c r="L225" s="5">
        <v>44348</v>
      </c>
      <c r="M225" s="5">
        <v>45474</v>
      </c>
      <c r="N225" s="5">
        <v>45838</v>
      </c>
      <c r="O225" s="4">
        <v>7958.84</v>
      </c>
      <c r="P225" s="4">
        <v>1</v>
      </c>
      <c r="Q225" s="4" t="s">
        <v>33</v>
      </c>
      <c r="R225" s="4" t="s">
        <v>34</v>
      </c>
      <c r="S225" s="4">
        <v>90005</v>
      </c>
      <c r="T225" s="4">
        <v>51000125761</v>
      </c>
      <c r="U225" s="4">
        <v>0</v>
      </c>
      <c r="V225" s="4">
        <v>0</v>
      </c>
      <c r="W225" s="4">
        <v>0</v>
      </c>
      <c r="X225" s="4">
        <v>683.43</v>
      </c>
      <c r="Y225" s="4">
        <v>7958.84</v>
      </c>
      <c r="Z225" s="4">
        <v>7275.41</v>
      </c>
      <c r="AA225" s="4" t="s">
        <v>35</v>
      </c>
      <c r="AB225" s="4" t="s">
        <v>36</v>
      </c>
    </row>
    <row r="226" spans="1:28" x14ac:dyDescent="0.3">
      <c r="A226" s="4" t="s">
        <v>340</v>
      </c>
      <c r="B226" s="4">
        <v>70559</v>
      </c>
      <c r="C226" s="4" t="s">
        <v>465</v>
      </c>
      <c r="D226" s="4" t="s">
        <v>37</v>
      </c>
      <c r="E226" s="4" t="s">
        <v>466</v>
      </c>
      <c r="F226" s="4" t="s">
        <v>467</v>
      </c>
      <c r="G226" s="5">
        <v>19491</v>
      </c>
      <c r="H226" s="4">
        <f>DAY(G226)</f>
        <v>12</v>
      </c>
      <c r="I226" s="4">
        <f>MONTH(G226)</f>
        <v>5</v>
      </c>
      <c r="J226" s="4">
        <f>YEAR(G226)</f>
        <v>1953</v>
      </c>
      <c r="K226" s="6">
        <v>5305121100034</v>
      </c>
      <c r="L226" s="5">
        <v>38749</v>
      </c>
      <c r="M226" s="5">
        <v>45474</v>
      </c>
      <c r="N226" s="5">
        <v>45838</v>
      </c>
      <c r="O226" s="4">
        <v>765.15</v>
      </c>
      <c r="P226" s="4">
        <v>1</v>
      </c>
      <c r="Q226" s="4" t="s">
        <v>33</v>
      </c>
      <c r="R226" s="4" t="s">
        <v>34</v>
      </c>
      <c r="S226" s="4">
        <v>770005</v>
      </c>
      <c r="T226" s="4">
        <v>1140610872001</v>
      </c>
      <c r="U226" s="4">
        <v>0</v>
      </c>
      <c r="V226" s="4">
        <v>0</v>
      </c>
      <c r="W226" s="4">
        <v>0</v>
      </c>
      <c r="X226" s="4">
        <v>0</v>
      </c>
      <c r="Y226" s="4">
        <v>765.15</v>
      </c>
      <c r="Z226" s="4">
        <v>765.15</v>
      </c>
      <c r="AA226" s="4" t="s">
        <v>35</v>
      </c>
    </row>
    <row r="227" spans="1:28" x14ac:dyDescent="0.3">
      <c r="A227" s="4" t="s">
        <v>340</v>
      </c>
      <c r="B227" s="4">
        <v>7064975</v>
      </c>
      <c r="C227" s="4" t="s">
        <v>468</v>
      </c>
      <c r="D227" s="4" t="s">
        <v>150</v>
      </c>
      <c r="E227" s="4" t="s">
        <v>469</v>
      </c>
      <c r="F227" s="4" t="s">
        <v>470</v>
      </c>
      <c r="G227" s="5">
        <v>21329</v>
      </c>
      <c r="H227" s="4">
        <f>DAY(G227)</f>
        <v>24</v>
      </c>
      <c r="I227" s="4">
        <f>MONTH(G227)</f>
        <v>5</v>
      </c>
      <c r="J227" s="4">
        <f>YEAR(G227)</f>
        <v>1958</v>
      </c>
      <c r="K227" s="6">
        <v>5805241100137</v>
      </c>
      <c r="L227" s="5">
        <v>44593</v>
      </c>
      <c r="M227" s="5">
        <v>45474</v>
      </c>
      <c r="N227" s="5">
        <v>45838</v>
      </c>
      <c r="O227" s="4">
        <v>1646.37</v>
      </c>
      <c r="P227" s="4">
        <v>1</v>
      </c>
      <c r="Q227" s="4" t="s">
        <v>33</v>
      </c>
      <c r="R227" s="4" t="s">
        <v>34</v>
      </c>
      <c r="S227" s="4">
        <v>770003</v>
      </c>
      <c r="T227" s="4">
        <v>77401842759</v>
      </c>
      <c r="U227" s="4">
        <v>0</v>
      </c>
      <c r="V227" s="4">
        <v>0</v>
      </c>
      <c r="W227" s="4">
        <v>0</v>
      </c>
      <c r="X227" s="4">
        <v>0</v>
      </c>
      <c r="Y227" s="4">
        <v>1646.37</v>
      </c>
      <c r="Z227" s="4">
        <v>1646.37</v>
      </c>
      <c r="AA227" s="4" t="s">
        <v>35</v>
      </c>
      <c r="AB227" s="4" t="s">
        <v>36</v>
      </c>
    </row>
    <row r="228" spans="1:28" x14ac:dyDescent="0.3">
      <c r="A228" s="4" t="s">
        <v>340</v>
      </c>
      <c r="B228" s="4">
        <v>7266438</v>
      </c>
      <c r="C228" s="4" t="s">
        <v>471</v>
      </c>
      <c r="D228" s="4" t="s">
        <v>181</v>
      </c>
      <c r="E228" s="4" t="s">
        <v>54</v>
      </c>
      <c r="F228" s="4" t="s">
        <v>472</v>
      </c>
      <c r="G228" s="5">
        <v>28982</v>
      </c>
      <c r="H228" s="4">
        <f>DAY(G228)</f>
        <v>7</v>
      </c>
      <c r="I228" s="4">
        <f>MONTH(G228)</f>
        <v>5</v>
      </c>
      <c r="J228" s="4">
        <f>YEAR(G228)</f>
        <v>1979</v>
      </c>
      <c r="K228" s="6">
        <v>7905046100363</v>
      </c>
      <c r="L228" s="5">
        <v>40057</v>
      </c>
      <c r="M228" s="5">
        <v>45474</v>
      </c>
      <c r="N228" s="5">
        <v>45838</v>
      </c>
      <c r="O228" s="4">
        <v>871.05</v>
      </c>
      <c r="P228" s="4">
        <v>1</v>
      </c>
      <c r="Q228" s="4" t="s">
        <v>33</v>
      </c>
      <c r="R228" s="4" t="s">
        <v>34</v>
      </c>
      <c r="S228" s="4">
        <v>90004</v>
      </c>
      <c r="T228" s="4">
        <v>51000838091</v>
      </c>
      <c r="U228" s="4">
        <v>0</v>
      </c>
      <c r="V228" s="4">
        <v>0</v>
      </c>
      <c r="W228" s="4">
        <v>0</v>
      </c>
      <c r="X228" s="4">
        <v>0</v>
      </c>
      <c r="Y228" s="4">
        <v>871.05</v>
      </c>
      <c r="Z228" s="4">
        <v>871.05</v>
      </c>
      <c r="AA228" s="4" t="s">
        <v>35</v>
      </c>
    </row>
    <row r="229" spans="1:28" x14ac:dyDescent="0.3">
      <c r="A229" s="4" t="s">
        <v>340</v>
      </c>
      <c r="B229" s="4">
        <v>8150408</v>
      </c>
      <c r="C229" s="4" t="s">
        <v>473</v>
      </c>
      <c r="D229" s="4" t="s">
        <v>474</v>
      </c>
      <c r="E229" s="4" t="s">
        <v>216</v>
      </c>
      <c r="F229" s="4" t="s">
        <v>138</v>
      </c>
      <c r="G229" s="5">
        <v>23150</v>
      </c>
      <c r="H229" s="4">
        <f>DAY(G229)</f>
        <v>19</v>
      </c>
      <c r="I229" s="4">
        <f>MONTH(G229)</f>
        <v>5</v>
      </c>
      <c r="J229" s="4">
        <f>YEAR(G229)</f>
        <v>1963</v>
      </c>
      <c r="K229" s="6">
        <v>6305191100061</v>
      </c>
      <c r="L229" s="5">
        <v>43070</v>
      </c>
      <c r="M229" s="5">
        <v>45474</v>
      </c>
      <c r="N229" s="5">
        <v>45838</v>
      </c>
      <c r="O229" s="4">
        <v>6352.47</v>
      </c>
      <c r="P229" s="4">
        <v>1</v>
      </c>
      <c r="Q229" s="4" t="s">
        <v>33</v>
      </c>
      <c r="R229" s="4" t="s">
        <v>34</v>
      </c>
      <c r="S229" s="4">
        <v>660464</v>
      </c>
      <c r="T229" s="4">
        <v>9110003698443</v>
      </c>
      <c r="U229" s="4">
        <v>0</v>
      </c>
      <c r="V229" s="4">
        <v>0</v>
      </c>
      <c r="W229" s="4">
        <v>0</v>
      </c>
      <c r="X229" s="4">
        <v>362.16</v>
      </c>
      <c r="Y229" s="4">
        <v>6352.47</v>
      </c>
      <c r="Z229" s="4">
        <v>5990.31</v>
      </c>
      <c r="AA229" s="4" t="s">
        <v>35</v>
      </c>
      <c r="AB229" s="4" t="s">
        <v>36</v>
      </c>
    </row>
    <row r="230" spans="1:28" x14ac:dyDescent="0.3">
      <c r="A230" s="4" t="s">
        <v>340</v>
      </c>
      <c r="B230" s="4">
        <v>9174290</v>
      </c>
      <c r="C230" s="4" t="s">
        <v>475</v>
      </c>
      <c r="D230" s="4" t="s">
        <v>224</v>
      </c>
      <c r="E230" s="4" t="s">
        <v>476</v>
      </c>
      <c r="F230" s="4" t="s">
        <v>477</v>
      </c>
      <c r="G230" s="5">
        <v>27543</v>
      </c>
      <c r="H230" s="4">
        <f>DAY(G230)</f>
        <v>29</v>
      </c>
      <c r="I230" s="4">
        <f>MONTH(G230)</f>
        <v>5</v>
      </c>
      <c r="J230" s="4">
        <f>YEAR(G230)</f>
        <v>1975</v>
      </c>
      <c r="K230" s="6">
        <v>7505296100028</v>
      </c>
      <c r="L230" s="5">
        <v>42095</v>
      </c>
      <c r="M230" s="5">
        <v>45474</v>
      </c>
      <c r="N230" s="5">
        <v>45838</v>
      </c>
      <c r="O230" s="4">
        <v>1271.3399999999999</v>
      </c>
      <c r="P230" s="4">
        <v>1</v>
      </c>
      <c r="Q230" s="4" t="s">
        <v>33</v>
      </c>
      <c r="R230" s="4" t="s">
        <v>34</v>
      </c>
      <c r="S230" s="4">
        <v>280164</v>
      </c>
      <c r="T230" s="4">
        <v>57731183994</v>
      </c>
      <c r="U230" s="4">
        <v>0</v>
      </c>
      <c r="V230" s="4">
        <v>0</v>
      </c>
      <c r="W230" s="4">
        <v>0</v>
      </c>
      <c r="X230" s="4">
        <v>0</v>
      </c>
      <c r="Y230" s="4">
        <v>1271.3399999999999</v>
      </c>
      <c r="Z230" s="4">
        <v>1271.3399999999999</v>
      </c>
      <c r="AA230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Nomphumelelo Masina</dc:creator>
  <cp:lastModifiedBy>Nomphumelelo Masina</cp:lastModifiedBy>
  <dcterms:created xsi:type="dcterms:W3CDTF">2026-07-20T07:15:52Z</dcterms:created>
  <dcterms:modified xsi:type="dcterms:W3CDTF">2026-07-20T07:16:45Z</dcterms:modified>
</cp:coreProperties>
</file>