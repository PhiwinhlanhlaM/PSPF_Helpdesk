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spfcosz-my.sharepoint.com/personal/nomphumelelo_pspf_co_sz/Documents/Desktop/"/>
    </mc:Choice>
  </mc:AlternateContent>
  <xr:revisionPtr revIDLastSave="10" documentId="8_{2C3C4C77-BB91-4E34-BDBF-F6FB1EF65858}" xr6:coauthVersionLast="47" xr6:coauthVersionMax="47" xr10:uidLastSave="{44FA2D2D-2374-4544-9E23-E711F458B9C2}"/>
  <bookViews>
    <workbookView xWindow="-108" yWindow="-108" windowWidth="23256" windowHeight="12456" xr2:uid="{5503918E-7CAA-4893-9170-60567CB79E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33" i="1" l="1"/>
  <c r="I233" i="1"/>
  <c r="H233" i="1"/>
  <c r="J232" i="1"/>
  <c r="I232" i="1"/>
  <c r="H232" i="1"/>
  <c r="J231" i="1"/>
  <c r="I231" i="1"/>
  <c r="H231" i="1"/>
  <c r="J230" i="1"/>
  <c r="I230" i="1"/>
  <c r="H230" i="1"/>
  <c r="J229" i="1"/>
  <c r="I229" i="1"/>
  <c r="H229" i="1"/>
  <c r="J228" i="1"/>
  <c r="I228" i="1"/>
  <c r="H228" i="1"/>
  <c r="J227" i="1"/>
  <c r="I227" i="1"/>
  <c r="H227" i="1"/>
  <c r="J226" i="1"/>
  <c r="I226" i="1"/>
  <c r="H226" i="1"/>
  <c r="J225" i="1"/>
  <c r="I225" i="1"/>
  <c r="H225" i="1"/>
  <c r="J224" i="1"/>
  <c r="I224" i="1"/>
  <c r="H224" i="1"/>
  <c r="J223" i="1"/>
  <c r="I223" i="1"/>
  <c r="H223" i="1"/>
  <c r="J222" i="1"/>
  <c r="I222" i="1"/>
  <c r="H222" i="1"/>
  <c r="J221" i="1"/>
  <c r="I221" i="1"/>
  <c r="H221" i="1"/>
  <c r="J220" i="1"/>
  <c r="I220" i="1"/>
  <c r="H220" i="1"/>
  <c r="J219" i="1"/>
  <c r="I219" i="1"/>
  <c r="H219" i="1"/>
  <c r="J218" i="1"/>
  <c r="I218" i="1"/>
  <c r="H218" i="1"/>
  <c r="J217" i="1"/>
  <c r="I217" i="1"/>
  <c r="H217" i="1"/>
  <c r="J216" i="1"/>
  <c r="I216" i="1"/>
  <c r="H216" i="1"/>
  <c r="J215" i="1"/>
  <c r="I215" i="1"/>
  <c r="H215" i="1"/>
  <c r="J214" i="1"/>
  <c r="I214" i="1"/>
  <c r="H214" i="1"/>
  <c r="J213" i="1"/>
  <c r="I213" i="1"/>
  <c r="H213" i="1"/>
  <c r="J212" i="1"/>
  <c r="I212" i="1"/>
  <c r="H212" i="1"/>
  <c r="J211" i="1"/>
  <c r="I211" i="1"/>
  <c r="H211" i="1"/>
  <c r="J210" i="1"/>
  <c r="I210" i="1"/>
  <c r="H210" i="1"/>
  <c r="J209" i="1"/>
  <c r="I209" i="1"/>
  <c r="H209" i="1"/>
  <c r="J208" i="1"/>
  <c r="I208" i="1"/>
  <c r="H208" i="1"/>
  <c r="J207" i="1"/>
  <c r="I207" i="1"/>
  <c r="H207" i="1"/>
  <c r="J206" i="1"/>
  <c r="I206" i="1"/>
  <c r="H206" i="1"/>
  <c r="J205" i="1"/>
  <c r="I205" i="1"/>
  <c r="H205" i="1"/>
  <c r="J204" i="1"/>
  <c r="I204" i="1"/>
  <c r="H204" i="1"/>
  <c r="J203" i="1"/>
  <c r="I203" i="1"/>
  <c r="H203" i="1"/>
  <c r="J202" i="1"/>
  <c r="I202" i="1"/>
  <c r="H202" i="1"/>
  <c r="J201" i="1"/>
  <c r="I201" i="1"/>
  <c r="H201" i="1"/>
  <c r="J200" i="1"/>
  <c r="I200" i="1"/>
  <c r="H200" i="1"/>
  <c r="J199" i="1"/>
  <c r="I199" i="1"/>
  <c r="H199" i="1"/>
  <c r="J198" i="1"/>
  <c r="I198" i="1"/>
  <c r="H198" i="1"/>
  <c r="J197" i="1"/>
  <c r="I197" i="1"/>
  <c r="H197" i="1"/>
  <c r="J196" i="1"/>
  <c r="I196" i="1"/>
  <c r="H196" i="1"/>
  <c r="J195" i="1"/>
  <c r="I195" i="1"/>
  <c r="H195" i="1"/>
  <c r="J194" i="1"/>
  <c r="I194" i="1"/>
  <c r="H194" i="1"/>
  <c r="J193" i="1"/>
  <c r="I193" i="1"/>
  <c r="H193" i="1"/>
  <c r="J192" i="1"/>
  <c r="I192" i="1"/>
  <c r="H192" i="1"/>
  <c r="J191" i="1"/>
  <c r="I191" i="1"/>
  <c r="H191" i="1"/>
  <c r="J190" i="1"/>
  <c r="I190" i="1"/>
  <c r="H190" i="1"/>
  <c r="J189" i="1"/>
  <c r="I189" i="1"/>
  <c r="H189" i="1"/>
  <c r="J188" i="1"/>
  <c r="I188" i="1"/>
  <c r="H188" i="1"/>
  <c r="J187" i="1"/>
  <c r="I187" i="1"/>
  <c r="H187" i="1"/>
  <c r="J186" i="1"/>
  <c r="I186" i="1"/>
  <c r="H186" i="1"/>
  <c r="J185" i="1"/>
  <c r="I185" i="1"/>
  <c r="H185" i="1"/>
  <c r="J184" i="1"/>
  <c r="I184" i="1"/>
  <c r="H184" i="1"/>
  <c r="J183" i="1"/>
  <c r="I183" i="1"/>
  <c r="H183" i="1"/>
  <c r="J182" i="1"/>
  <c r="I182" i="1"/>
  <c r="H182" i="1"/>
  <c r="J181" i="1"/>
  <c r="I181" i="1"/>
  <c r="H181" i="1"/>
  <c r="J180" i="1"/>
  <c r="I180" i="1"/>
  <c r="H180" i="1"/>
  <c r="J179" i="1"/>
  <c r="I179" i="1"/>
  <c r="H179" i="1"/>
  <c r="J178" i="1"/>
  <c r="I178" i="1"/>
  <c r="H178" i="1"/>
  <c r="J177" i="1"/>
  <c r="I177" i="1"/>
  <c r="H177" i="1"/>
  <c r="J176" i="1"/>
  <c r="I176" i="1"/>
  <c r="H176" i="1"/>
  <c r="J175" i="1"/>
  <c r="I175" i="1"/>
  <c r="H175" i="1"/>
  <c r="J174" i="1"/>
  <c r="I174" i="1"/>
  <c r="H174" i="1"/>
  <c r="J173" i="1"/>
  <c r="I173" i="1"/>
  <c r="H173" i="1"/>
  <c r="J172" i="1"/>
  <c r="I172" i="1"/>
  <c r="H172" i="1"/>
  <c r="J171" i="1"/>
  <c r="I171" i="1"/>
  <c r="H171" i="1"/>
  <c r="J170" i="1"/>
  <c r="I170" i="1"/>
  <c r="H170" i="1"/>
  <c r="J169" i="1"/>
  <c r="I169" i="1"/>
  <c r="H169" i="1"/>
  <c r="J168" i="1"/>
  <c r="I168" i="1"/>
  <c r="H168" i="1"/>
  <c r="J167" i="1"/>
  <c r="I167" i="1"/>
  <c r="H167" i="1"/>
  <c r="J166" i="1"/>
  <c r="I166" i="1"/>
  <c r="H166" i="1"/>
  <c r="J165" i="1"/>
  <c r="I165" i="1"/>
  <c r="H165" i="1"/>
  <c r="J164" i="1"/>
  <c r="I164" i="1"/>
  <c r="H164" i="1"/>
  <c r="J163" i="1"/>
  <c r="I163" i="1"/>
  <c r="H163" i="1"/>
  <c r="J162" i="1"/>
  <c r="I162" i="1"/>
  <c r="H162" i="1"/>
  <c r="J161" i="1"/>
  <c r="I161" i="1"/>
  <c r="H161" i="1"/>
  <c r="J160" i="1"/>
  <c r="I160" i="1"/>
  <c r="H160" i="1"/>
  <c r="J159" i="1"/>
  <c r="I159" i="1"/>
  <c r="H159" i="1"/>
  <c r="J158" i="1"/>
  <c r="I158" i="1"/>
  <c r="H158" i="1"/>
  <c r="J157" i="1"/>
  <c r="I157" i="1"/>
  <c r="H157" i="1"/>
  <c r="J156" i="1"/>
  <c r="I156" i="1"/>
  <c r="H156" i="1"/>
  <c r="J155" i="1"/>
  <c r="I155" i="1"/>
  <c r="H155" i="1"/>
  <c r="J154" i="1"/>
  <c r="I154" i="1"/>
  <c r="H154" i="1"/>
  <c r="J153" i="1"/>
  <c r="I153" i="1"/>
  <c r="H153" i="1"/>
  <c r="J152" i="1"/>
  <c r="I152" i="1"/>
  <c r="H152" i="1"/>
  <c r="J151" i="1"/>
  <c r="I151" i="1"/>
  <c r="H151" i="1"/>
  <c r="J150" i="1"/>
  <c r="I150" i="1"/>
  <c r="H150" i="1"/>
  <c r="J149" i="1"/>
  <c r="I149" i="1"/>
  <c r="H149" i="1"/>
  <c r="J148" i="1"/>
  <c r="I148" i="1"/>
  <c r="H148" i="1"/>
  <c r="J147" i="1"/>
  <c r="I147" i="1"/>
  <c r="H147" i="1"/>
  <c r="J146" i="1"/>
  <c r="I146" i="1"/>
  <c r="H146" i="1"/>
  <c r="J145" i="1"/>
  <c r="I145" i="1"/>
  <c r="H145" i="1"/>
  <c r="J144" i="1"/>
  <c r="I144" i="1"/>
  <c r="H144" i="1"/>
  <c r="J143" i="1"/>
  <c r="I143" i="1"/>
  <c r="H143" i="1"/>
  <c r="J142" i="1"/>
  <c r="I142" i="1"/>
  <c r="H142" i="1"/>
  <c r="J141" i="1"/>
  <c r="I141" i="1"/>
  <c r="H141" i="1"/>
  <c r="J140" i="1"/>
  <c r="I140" i="1"/>
  <c r="H140" i="1"/>
  <c r="J139" i="1"/>
  <c r="I139" i="1"/>
  <c r="H139" i="1"/>
  <c r="J138" i="1"/>
  <c r="I138" i="1"/>
  <c r="H138" i="1"/>
  <c r="J137" i="1"/>
  <c r="I137" i="1"/>
  <c r="H137" i="1"/>
  <c r="J136" i="1"/>
  <c r="I136" i="1"/>
  <c r="H136" i="1"/>
  <c r="J135" i="1"/>
  <c r="I135" i="1"/>
  <c r="H135" i="1"/>
  <c r="J134" i="1"/>
  <c r="I134" i="1"/>
  <c r="H134" i="1"/>
  <c r="J133" i="1"/>
  <c r="I133" i="1"/>
  <c r="H133" i="1"/>
  <c r="J132" i="1"/>
  <c r="I132" i="1"/>
  <c r="H132" i="1"/>
  <c r="J131" i="1"/>
  <c r="I131" i="1"/>
  <c r="H131" i="1"/>
  <c r="J130" i="1"/>
  <c r="I130" i="1"/>
  <c r="H130" i="1"/>
  <c r="J129" i="1"/>
  <c r="I129" i="1"/>
  <c r="H129" i="1"/>
  <c r="J128" i="1"/>
  <c r="I128" i="1"/>
  <c r="H128" i="1"/>
  <c r="J127" i="1"/>
  <c r="I127" i="1"/>
  <c r="H127" i="1"/>
  <c r="J126" i="1"/>
  <c r="I126" i="1"/>
  <c r="H126" i="1"/>
  <c r="J125" i="1"/>
  <c r="I125" i="1"/>
  <c r="H125" i="1"/>
  <c r="J124" i="1"/>
  <c r="I124" i="1"/>
  <c r="H124" i="1"/>
  <c r="J123" i="1"/>
  <c r="I123" i="1"/>
  <c r="H123" i="1"/>
  <c r="J122" i="1"/>
  <c r="I122" i="1"/>
  <c r="H122" i="1"/>
  <c r="J121" i="1"/>
  <c r="I121" i="1"/>
  <c r="H121" i="1"/>
  <c r="J120" i="1"/>
  <c r="I120" i="1"/>
  <c r="H120" i="1"/>
  <c r="J119" i="1"/>
  <c r="I119" i="1"/>
  <c r="H119" i="1"/>
  <c r="J118" i="1"/>
  <c r="I118" i="1"/>
  <c r="H118" i="1"/>
  <c r="J117" i="1"/>
  <c r="I117" i="1"/>
  <c r="H117" i="1"/>
  <c r="J116" i="1"/>
  <c r="I116" i="1"/>
  <c r="H116" i="1"/>
  <c r="J115" i="1"/>
  <c r="I115" i="1"/>
  <c r="H115" i="1"/>
  <c r="J114" i="1"/>
  <c r="I114" i="1"/>
  <c r="H114" i="1"/>
  <c r="J113" i="1"/>
  <c r="I113" i="1"/>
  <c r="H113" i="1"/>
  <c r="J112" i="1"/>
  <c r="I112" i="1"/>
  <c r="H112" i="1"/>
  <c r="J111" i="1"/>
  <c r="I111" i="1"/>
  <c r="H111" i="1"/>
  <c r="J110" i="1"/>
  <c r="I110" i="1"/>
  <c r="H110" i="1"/>
  <c r="J109" i="1"/>
  <c r="I109" i="1"/>
  <c r="H109" i="1"/>
  <c r="J108" i="1"/>
  <c r="I108" i="1"/>
  <c r="H108" i="1"/>
  <c r="J107" i="1"/>
  <c r="I107" i="1"/>
  <c r="H107" i="1"/>
  <c r="J106" i="1"/>
  <c r="I106" i="1"/>
  <c r="H106" i="1"/>
  <c r="J105" i="1"/>
  <c r="I105" i="1"/>
  <c r="H105" i="1"/>
  <c r="J104" i="1"/>
  <c r="I104" i="1"/>
  <c r="H104" i="1"/>
  <c r="J103" i="1"/>
  <c r="I103" i="1"/>
  <c r="H103" i="1"/>
  <c r="J102" i="1"/>
  <c r="I102" i="1"/>
  <c r="H102" i="1"/>
  <c r="J101" i="1"/>
  <c r="I101" i="1"/>
  <c r="H101" i="1"/>
  <c r="J100" i="1"/>
  <c r="I100" i="1"/>
  <c r="H100" i="1"/>
  <c r="J99" i="1"/>
  <c r="I99" i="1"/>
  <c r="H99" i="1"/>
  <c r="J98" i="1"/>
  <c r="I98" i="1"/>
  <c r="H98" i="1"/>
  <c r="J97" i="1"/>
  <c r="I97" i="1"/>
  <c r="H97" i="1"/>
  <c r="J96" i="1"/>
  <c r="I96" i="1"/>
  <c r="H96" i="1"/>
  <c r="J95" i="1"/>
  <c r="I95" i="1"/>
  <c r="H95" i="1"/>
  <c r="J94" i="1"/>
  <c r="I94" i="1"/>
  <c r="H94" i="1"/>
  <c r="J93" i="1"/>
  <c r="I93" i="1"/>
  <c r="H93" i="1"/>
  <c r="J92" i="1"/>
  <c r="I92" i="1"/>
  <c r="H92" i="1"/>
  <c r="J91" i="1"/>
  <c r="I91" i="1"/>
  <c r="H91" i="1"/>
  <c r="J90" i="1"/>
  <c r="I90" i="1"/>
  <c r="H90" i="1"/>
  <c r="J89" i="1"/>
  <c r="I89" i="1"/>
  <c r="H89" i="1"/>
  <c r="J88" i="1"/>
  <c r="I88" i="1"/>
  <c r="H88" i="1"/>
  <c r="J87" i="1"/>
  <c r="I87" i="1"/>
  <c r="H87" i="1"/>
  <c r="J86" i="1"/>
  <c r="I86" i="1"/>
  <c r="H86" i="1"/>
  <c r="J85" i="1"/>
  <c r="I85" i="1"/>
  <c r="H85" i="1"/>
  <c r="J84" i="1"/>
  <c r="I84" i="1"/>
  <c r="H84" i="1"/>
  <c r="J83" i="1"/>
  <c r="I83" i="1"/>
  <c r="H83" i="1"/>
  <c r="J82" i="1"/>
  <c r="I82" i="1"/>
  <c r="H82" i="1"/>
  <c r="J81" i="1"/>
  <c r="I81" i="1"/>
  <c r="H81" i="1"/>
  <c r="J80" i="1"/>
  <c r="I80" i="1"/>
  <c r="H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J60" i="1"/>
  <c r="I60" i="1"/>
  <c r="H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J46" i="1"/>
  <c r="I46" i="1"/>
  <c r="H46" i="1"/>
  <c r="J45" i="1"/>
  <c r="I45" i="1"/>
  <c r="H45" i="1"/>
  <c r="J44" i="1"/>
  <c r="I44" i="1"/>
  <c r="H44" i="1"/>
  <c r="J43" i="1"/>
  <c r="I43" i="1"/>
  <c r="H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J23" i="1"/>
  <c r="I23" i="1"/>
  <c r="H23" i="1"/>
  <c r="J22" i="1"/>
  <c r="I22" i="1"/>
  <c r="H22" i="1"/>
  <c r="J21" i="1"/>
  <c r="I21" i="1"/>
  <c r="H21" i="1"/>
  <c r="J20" i="1"/>
  <c r="I20" i="1"/>
  <c r="H20" i="1"/>
  <c r="J19" i="1"/>
  <c r="I19" i="1"/>
  <c r="H19" i="1"/>
  <c r="J18" i="1"/>
  <c r="I18" i="1"/>
  <c r="H18" i="1"/>
  <c r="J17" i="1"/>
  <c r="I17" i="1"/>
  <c r="H17" i="1"/>
  <c r="J16" i="1"/>
  <c r="I16" i="1"/>
  <c r="H16" i="1"/>
  <c r="J15" i="1"/>
  <c r="I15" i="1"/>
  <c r="H15" i="1"/>
  <c r="J14" i="1"/>
  <c r="I14" i="1"/>
  <c r="H14" i="1"/>
  <c r="J13" i="1"/>
  <c r="I13" i="1"/>
  <c r="H13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<sst xmlns="http://schemas.openxmlformats.org/spreadsheetml/2006/main" count="1722" uniqueCount="479">
  <si>
    <t>TYPE OF ANNUITANT</t>
  </si>
  <si>
    <t>MEMBERSHIP REFERENCE</t>
  </si>
  <si>
    <t>UNIQUE ID</t>
  </si>
  <si>
    <t>PAYEE NAME</t>
  </si>
  <si>
    <t>INITIALS</t>
  </si>
  <si>
    <t>FIRST NAME</t>
  </si>
  <si>
    <t>DATE OF BIRTH</t>
  </si>
  <si>
    <t>DAY</t>
  </si>
  <si>
    <t>MONTH</t>
  </si>
  <si>
    <t>YEAR</t>
  </si>
  <si>
    <t>IDENTITY NUMBER</t>
  </si>
  <si>
    <t>START DATE</t>
  </si>
  <si>
    <t>EFFECTIVE DATE</t>
  </si>
  <si>
    <t>LAST PAYMENT DATE</t>
  </si>
  <si>
    <t>AMOUNT</t>
  </si>
  <si>
    <t>NUMBER OF PAYMENTS INCL</t>
  </si>
  <si>
    <t>PAYMENT FREQUENCY</t>
  </si>
  <si>
    <t>PAYMENT METHOD</t>
  </si>
  <si>
    <t>BRANCH CODE</t>
  </si>
  <si>
    <t>BANK ACCOUNT NUMBER</t>
  </si>
  <si>
    <t>DEDUCTIONS</t>
  </si>
  <si>
    <t>TAX FREE DEDUCTION</t>
  </si>
  <si>
    <t>SITE TAX</t>
  </si>
  <si>
    <t>PAYE AMOUNT</t>
  </si>
  <si>
    <t>GROSS PAYMENT</t>
  </si>
  <si>
    <t>PAYMENT AMOUNT</t>
  </si>
  <si>
    <t>PAYMENT TYPE</t>
  </si>
  <si>
    <t>NOTES</t>
  </si>
  <si>
    <t>ANNUITY MEMB GRP</t>
  </si>
  <si>
    <t>ANNUITANT</t>
  </si>
  <si>
    <t>FAKUDZE</t>
  </si>
  <si>
    <t>T</t>
  </si>
  <si>
    <t>THALITHA</t>
  </si>
  <si>
    <t>MONTHLY</t>
  </si>
  <si>
    <t>EFT</t>
  </si>
  <si>
    <t>ANNUITY</t>
  </si>
  <si>
    <t>KUBHEKA</t>
  </si>
  <si>
    <t>S</t>
  </si>
  <si>
    <t>SOLOMON</t>
  </si>
  <si>
    <t>MASEKO</t>
  </si>
  <si>
    <t>P</t>
  </si>
  <si>
    <t>PETROSM</t>
  </si>
  <si>
    <t>BULUNGA</t>
  </si>
  <si>
    <t>L</t>
  </si>
  <si>
    <t>LOMUSA</t>
  </si>
  <si>
    <t>MASHININI</t>
  </si>
  <si>
    <t>V</t>
  </si>
  <si>
    <t>VIOLET</t>
  </si>
  <si>
    <t>MAZIYA</t>
  </si>
  <si>
    <t>R</t>
  </si>
  <si>
    <t>ROBERT</t>
  </si>
  <si>
    <t>NXUMALO</t>
  </si>
  <si>
    <t>C</t>
  </si>
  <si>
    <t>CONSTANCET</t>
  </si>
  <si>
    <t>GWEBU</t>
  </si>
  <si>
    <t>G</t>
  </si>
  <si>
    <t>GEORGEG</t>
  </si>
  <si>
    <t>040000025207</t>
  </si>
  <si>
    <t>MICHIELIN</t>
  </si>
  <si>
    <t>I</t>
  </si>
  <si>
    <t>IRMA</t>
  </si>
  <si>
    <t>MOTHA</t>
  </si>
  <si>
    <t>PETERZ</t>
  </si>
  <si>
    <t>MABASO</t>
  </si>
  <si>
    <t>J</t>
  </si>
  <si>
    <t>JOHNT</t>
  </si>
  <si>
    <t>DLAMINI</t>
  </si>
  <si>
    <t>CHRISTINAM</t>
  </si>
  <si>
    <t>DUBA</t>
  </si>
  <si>
    <t>F</t>
  </si>
  <si>
    <t>FRANCEM</t>
  </si>
  <si>
    <t>MADONSELA</t>
  </si>
  <si>
    <t>M</t>
  </si>
  <si>
    <t>MKHAMBATSI</t>
  </si>
  <si>
    <t>MFANAWELANGA</t>
  </si>
  <si>
    <t>ZWANE</t>
  </si>
  <si>
    <t>JOYCE</t>
  </si>
  <si>
    <t>JABULANE</t>
  </si>
  <si>
    <t>SIBEKO</t>
  </si>
  <si>
    <t>E</t>
  </si>
  <si>
    <t>ENOCK</t>
  </si>
  <si>
    <t>MNISI</t>
  </si>
  <si>
    <t>ENGLAND</t>
  </si>
  <si>
    <t>ELEANOR</t>
  </si>
  <si>
    <t>MOHALE</t>
  </si>
  <si>
    <t>MLONDIE</t>
  </si>
  <si>
    <t>MAMBA</t>
  </si>
  <si>
    <t>A</t>
  </si>
  <si>
    <t>SANDILE</t>
  </si>
  <si>
    <t>VILAKAZI</t>
  </si>
  <si>
    <t>PHIWAYINKHOSI</t>
  </si>
  <si>
    <t>JEROME</t>
  </si>
  <si>
    <t>SHIBA</t>
  </si>
  <si>
    <t>GEORGE</t>
  </si>
  <si>
    <t>TFWALA</t>
  </si>
  <si>
    <t>VANANCANE</t>
  </si>
  <si>
    <t>SIMELANE</t>
  </si>
  <si>
    <t>VM</t>
  </si>
  <si>
    <t>THEMBA</t>
  </si>
  <si>
    <t>OBED</t>
  </si>
  <si>
    <t>K</t>
  </si>
  <si>
    <t>KHETHIWE</t>
  </si>
  <si>
    <t>SIBISI</t>
  </si>
  <si>
    <t>B</t>
  </si>
  <si>
    <t>SIMO</t>
  </si>
  <si>
    <t>MAGAGULA</t>
  </si>
  <si>
    <t>MPOSTOLI</t>
  </si>
  <si>
    <t>MATSENJWA</t>
  </si>
  <si>
    <t>RICHARD</t>
  </si>
  <si>
    <t>TSABEDZE</t>
  </si>
  <si>
    <t>REJOYCE</t>
  </si>
  <si>
    <t>SHIKU</t>
  </si>
  <si>
    <t>WENDY</t>
  </si>
  <si>
    <t>BUSIE</t>
  </si>
  <si>
    <t>MAVIMBELA</t>
  </si>
  <si>
    <t>ELIZABETH</t>
  </si>
  <si>
    <t>SHONGWE</t>
  </si>
  <si>
    <t>JOSHUA</t>
  </si>
  <si>
    <t>MABUZA</t>
  </si>
  <si>
    <t>REGINA</t>
  </si>
  <si>
    <t>020000038513</t>
  </si>
  <si>
    <t>LUCY</t>
  </si>
  <si>
    <t>VERONICA</t>
  </si>
  <si>
    <t>NGEMA</t>
  </si>
  <si>
    <t>THEMBI</t>
  </si>
  <si>
    <t>020000696267</t>
  </si>
  <si>
    <t>NONHLANHLA</t>
  </si>
  <si>
    <t>HLOPHE</t>
  </si>
  <si>
    <t>D</t>
  </si>
  <si>
    <t>SABINA</t>
  </si>
  <si>
    <t>MANANA</t>
  </si>
  <si>
    <t>N</t>
  </si>
  <si>
    <t>PETROS</t>
  </si>
  <si>
    <t>THANDIE</t>
  </si>
  <si>
    <t>MBUYISA</t>
  </si>
  <si>
    <t>ESTHER</t>
  </si>
  <si>
    <t>020000041198</t>
  </si>
  <si>
    <t>PHEPHELAPHI</t>
  </si>
  <si>
    <t>SIMISO</t>
  </si>
  <si>
    <t>MP</t>
  </si>
  <si>
    <t>MARGARET</t>
  </si>
  <si>
    <t>NGWENYA</t>
  </si>
  <si>
    <t>RM</t>
  </si>
  <si>
    <t>RICHARD MFELANE</t>
  </si>
  <si>
    <t>SIBONGILE    IVY</t>
  </si>
  <si>
    <t>THULISILE</t>
  </si>
  <si>
    <t>RUTH</t>
  </si>
  <si>
    <t>RBN</t>
  </si>
  <si>
    <t>RUTH BUSISIWE</t>
  </si>
  <si>
    <t>MKHATSHWA</t>
  </si>
  <si>
    <t>PS</t>
  </si>
  <si>
    <t>PRISCILLA SIBONGINKO</t>
  </si>
  <si>
    <t>GX</t>
  </si>
  <si>
    <t>GOODNESS XOLILE</t>
  </si>
  <si>
    <t>MABILA</t>
  </si>
  <si>
    <t>JN</t>
  </si>
  <si>
    <t>JABULILE</t>
  </si>
  <si>
    <t>XOLILE</t>
  </si>
  <si>
    <t>LANGA</t>
  </si>
  <si>
    <t>MAKHOSAZANA</t>
  </si>
  <si>
    <t>LUNGELO</t>
  </si>
  <si>
    <t>GUGU</t>
  </si>
  <si>
    <t>SITHEMBILE</t>
  </si>
  <si>
    <t>MAGONGO</t>
  </si>
  <si>
    <t>JD</t>
  </si>
  <si>
    <t>JABULANI DUMSANI</t>
  </si>
  <si>
    <t>GUMBI</t>
  </si>
  <si>
    <t>ZANELE</t>
  </si>
  <si>
    <t>NYONI</t>
  </si>
  <si>
    <t>MATSEBULA</t>
  </si>
  <si>
    <t>NC</t>
  </si>
  <si>
    <t>NTOMBIFUTHI</t>
  </si>
  <si>
    <t>NOKUTHULA</t>
  </si>
  <si>
    <t>NOMSA</t>
  </si>
  <si>
    <t>THABSILE</t>
  </si>
  <si>
    <t>MDLULI</t>
  </si>
  <si>
    <t>SW</t>
  </si>
  <si>
    <t>SIBUSISO</t>
  </si>
  <si>
    <t>PHUMZILE</t>
  </si>
  <si>
    <t>MKHABELA</t>
  </si>
  <si>
    <t>TD</t>
  </si>
  <si>
    <t>THANDIE DORCAS</t>
  </si>
  <si>
    <t>SIMON</t>
  </si>
  <si>
    <t>SIBANYONI</t>
  </si>
  <si>
    <t>JOSEPH</t>
  </si>
  <si>
    <t>SHABANGU</t>
  </si>
  <si>
    <t>MSONGELWA</t>
  </si>
  <si>
    <t>MASILELA</t>
  </si>
  <si>
    <t>ALVINAH</t>
  </si>
  <si>
    <t>SUKATI</t>
  </si>
  <si>
    <t>HENDRINAH</t>
  </si>
  <si>
    <t>MCINISELI</t>
  </si>
  <si>
    <t>MSIBI</t>
  </si>
  <si>
    <t>BONGANI</t>
  </si>
  <si>
    <t>TSHABALALA</t>
  </si>
  <si>
    <t>MH</t>
  </si>
  <si>
    <t>MFUNDO</t>
  </si>
  <si>
    <t>AN01</t>
  </si>
  <si>
    <t>ETHEL</t>
  </si>
  <si>
    <t>GAMEDZE</t>
  </si>
  <si>
    <t>DUMSANI</t>
  </si>
  <si>
    <t>NGOZO</t>
  </si>
  <si>
    <t>DM</t>
  </si>
  <si>
    <t>DAVID</t>
  </si>
  <si>
    <t>DUMISANI</t>
  </si>
  <si>
    <t>SHABALALA</t>
  </si>
  <si>
    <t>FORTUNATE</t>
  </si>
  <si>
    <t>MACALENI Z</t>
  </si>
  <si>
    <t>HLAWE</t>
  </si>
  <si>
    <t>AN03</t>
  </si>
  <si>
    <t>KHUMALO</t>
  </si>
  <si>
    <t>HAMILTON</t>
  </si>
  <si>
    <t>TEE</t>
  </si>
  <si>
    <t>THOBILE ETHNA</t>
  </si>
  <si>
    <t>MOTSA</t>
  </si>
  <si>
    <t>SIPHO</t>
  </si>
  <si>
    <t>DLAMINI MBINGO</t>
  </si>
  <si>
    <t>BUYISILE</t>
  </si>
  <si>
    <t>DUBE</t>
  </si>
  <si>
    <t>BS</t>
  </si>
  <si>
    <t>MUMSY</t>
  </si>
  <si>
    <t>SV</t>
  </si>
  <si>
    <t>SIMON VUSUMUZI</t>
  </si>
  <si>
    <t>LITCHFIELD</t>
  </si>
  <si>
    <t>LLL</t>
  </si>
  <si>
    <t>LAURETTE LYDIA</t>
  </si>
  <si>
    <t>MOABI</t>
  </si>
  <si>
    <t>SIHLONGONYANE</t>
  </si>
  <si>
    <t>NI</t>
  </si>
  <si>
    <t>NOMVELO INNOCENTIA</t>
  </si>
  <si>
    <t>VERNON</t>
  </si>
  <si>
    <t>FIKILE</t>
  </si>
  <si>
    <t>NKAMBULE</t>
  </si>
  <si>
    <t>LF</t>
  </si>
  <si>
    <t>LINDIWE</t>
  </si>
  <si>
    <t>LENFORD</t>
  </si>
  <si>
    <t>NDLOVU</t>
  </si>
  <si>
    <t>BONISIWE</t>
  </si>
  <si>
    <t>AN02</t>
  </si>
  <si>
    <t>MDUDUZI</t>
  </si>
  <si>
    <t>SHEWULA</t>
  </si>
  <si>
    <t>SANDRA</t>
  </si>
  <si>
    <t>WILLIAM</t>
  </si>
  <si>
    <t>THULANI</t>
  </si>
  <si>
    <t>CS</t>
  </si>
  <si>
    <t>CURTHBERT SIPHO</t>
  </si>
  <si>
    <t>020000042294</t>
  </si>
  <si>
    <t>KUNENE</t>
  </si>
  <si>
    <t>THABISILE</t>
  </si>
  <si>
    <t>MTSETFWA</t>
  </si>
  <si>
    <t>HEBERT</t>
  </si>
  <si>
    <t>SHUPHA</t>
  </si>
  <si>
    <t>GULE</t>
  </si>
  <si>
    <t>ELVIS</t>
  </si>
  <si>
    <t>TT</t>
  </si>
  <si>
    <t>THEMBA TIMOTHY</t>
  </si>
  <si>
    <t>MHLANGA</t>
  </si>
  <si>
    <t>ABEL</t>
  </si>
  <si>
    <t>MADVONSELA</t>
  </si>
  <si>
    <t>SPHEPHO</t>
  </si>
  <si>
    <t>NZUZA</t>
  </si>
  <si>
    <t>KENNETH</t>
  </si>
  <si>
    <t>MGADLELA</t>
  </si>
  <si>
    <t>MARTIN</t>
  </si>
  <si>
    <t>SAMUEL</t>
  </si>
  <si>
    <t>BUYILE</t>
  </si>
  <si>
    <t>LUKHELE</t>
  </si>
  <si>
    <t>MAPHIWA</t>
  </si>
  <si>
    <t>MASUKU</t>
  </si>
  <si>
    <t>ANGELINE</t>
  </si>
  <si>
    <t>THOMAS</t>
  </si>
  <si>
    <t>DLUDLU</t>
  </si>
  <si>
    <t>Z</t>
  </si>
  <si>
    <t>HENDRICK</t>
  </si>
  <si>
    <t>BENSON VUSUMUZI</t>
  </si>
  <si>
    <t>EMELYN</t>
  </si>
  <si>
    <t>MAZIBUKO</t>
  </si>
  <si>
    <t>PATRICK</t>
  </si>
  <si>
    <t>CYPRIAN</t>
  </si>
  <si>
    <t>FRANSISCA</t>
  </si>
  <si>
    <t>JM</t>
  </si>
  <si>
    <t>JABULANE MLUNGISI</t>
  </si>
  <si>
    <t>MYENI</t>
  </si>
  <si>
    <t>ALLINAH</t>
  </si>
  <si>
    <t>MAVIS</t>
  </si>
  <si>
    <t>JOHNSTONE</t>
  </si>
  <si>
    <t>ME</t>
  </si>
  <si>
    <t>MICHAEL ELVIS</t>
  </si>
  <si>
    <t>T B N</t>
  </si>
  <si>
    <t>TITUS</t>
  </si>
  <si>
    <t>SM</t>
  </si>
  <si>
    <t>SHADRACK MBONGENI</t>
  </si>
  <si>
    <t>CYRUS</t>
  </si>
  <si>
    <t>THEMBUMUSA</t>
  </si>
  <si>
    <t>ALEX</t>
  </si>
  <si>
    <t>SIBONDZA</t>
  </si>
  <si>
    <t>LONDIE</t>
  </si>
  <si>
    <t>MATHENJWA</t>
  </si>
  <si>
    <t>VICTOR</t>
  </si>
  <si>
    <t>CHARLES</t>
  </si>
  <si>
    <t>JAMES</t>
  </si>
  <si>
    <t>GOODWILL</t>
  </si>
  <si>
    <t>NDZIMANDZE</t>
  </si>
  <si>
    <t>SQ</t>
  </si>
  <si>
    <t>TIMOTHY</t>
  </si>
  <si>
    <t>MNGOMEZULU</t>
  </si>
  <si>
    <t>AARON</t>
  </si>
  <si>
    <t>HLENGIWE</t>
  </si>
  <si>
    <t>XOLISILE</t>
  </si>
  <si>
    <t>MAHLALELA</t>
  </si>
  <si>
    <t>VINCENT</t>
  </si>
  <si>
    <t>SIGWANE</t>
  </si>
  <si>
    <t>TF</t>
  </si>
  <si>
    <t>THULI FAITH</t>
  </si>
  <si>
    <t>NDZABANDZABA</t>
  </si>
  <si>
    <t>SS</t>
  </si>
  <si>
    <t>SIKELELA SHEDRACK</t>
  </si>
  <si>
    <t>SIFUNDZA</t>
  </si>
  <si>
    <t>WB</t>
  </si>
  <si>
    <t>WANDILE BHEKISISA</t>
  </si>
  <si>
    <t>LUCKY</t>
  </si>
  <si>
    <t>CBB</t>
  </si>
  <si>
    <t>CELUMUSA BARBARA</t>
  </si>
  <si>
    <t>NKWANYANA</t>
  </si>
  <si>
    <t>SIMANGA</t>
  </si>
  <si>
    <t>THWALA</t>
  </si>
  <si>
    <t>GININDZA</t>
  </si>
  <si>
    <t>MN</t>
  </si>
  <si>
    <t>MANELI</t>
  </si>
  <si>
    <t>MALINGA</t>
  </si>
  <si>
    <t>BUSISIWE GUGU BELLA</t>
  </si>
  <si>
    <t>NOMATHEMBA</t>
  </si>
  <si>
    <t>QONDILE</t>
  </si>
  <si>
    <t>SPOUSE</t>
  </si>
  <si>
    <t>102055153_01</t>
  </si>
  <si>
    <t>THEMBELIHLE</t>
  </si>
  <si>
    <t>13522_01</t>
  </si>
  <si>
    <t>VD</t>
  </si>
  <si>
    <t>VIRGINIA</t>
  </si>
  <si>
    <t>18963_03</t>
  </si>
  <si>
    <t>MARIA</t>
  </si>
  <si>
    <t>2101798_01</t>
  </si>
  <si>
    <t>VB</t>
  </si>
  <si>
    <t>2106229_01</t>
  </si>
  <si>
    <t>A N</t>
  </si>
  <si>
    <t>ANNAH</t>
  </si>
  <si>
    <t>217831_01</t>
  </si>
  <si>
    <t>H</t>
  </si>
  <si>
    <t>BUSISIWE</t>
  </si>
  <si>
    <t>218939_01</t>
  </si>
  <si>
    <t>TE</t>
  </si>
  <si>
    <t>2248994_02</t>
  </si>
  <si>
    <t>JABU</t>
  </si>
  <si>
    <t>2266323_01</t>
  </si>
  <si>
    <t>GULE-NKHAMBULE</t>
  </si>
  <si>
    <t>NG</t>
  </si>
  <si>
    <t>NKOSINGIPHILE</t>
  </si>
  <si>
    <t>2344942_01</t>
  </si>
  <si>
    <t>B P</t>
  </si>
  <si>
    <t>BABAZILE</t>
  </si>
  <si>
    <t>23498_01</t>
  </si>
  <si>
    <t>MAPHALALA</t>
  </si>
  <si>
    <t>ST</t>
  </si>
  <si>
    <t>2452953_01</t>
  </si>
  <si>
    <t>28848_01</t>
  </si>
  <si>
    <t>NJ</t>
  </si>
  <si>
    <t>NOTHANDO</t>
  </si>
  <si>
    <t>300034_02</t>
  </si>
  <si>
    <t>REBECCA</t>
  </si>
  <si>
    <t>300684_02</t>
  </si>
  <si>
    <t>ROSE</t>
  </si>
  <si>
    <t>300704_04</t>
  </si>
  <si>
    <t>DUDU</t>
  </si>
  <si>
    <t>3007680_02</t>
  </si>
  <si>
    <t>300769_02</t>
  </si>
  <si>
    <t>SAM</t>
  </si>
  <si>
    <t>300844_03</t>
  </si>
  <si>
    <t>301079_03</t>
  </si>
  <si>
    <t>GAMA</t>
  </si>
  <si>
    <t>301378_02</t>
  </si>
  <si>
    <t>VILAKATI</t>
  </si>
  <si>
    <t>301497_04</t>
  </si>
  <si>
    <t>301768_02</t>
  </si>
  <si>
    <t>GCINAPHI</t>
  </si>
  <si>
    <t>301928_01</t>
  </si>
  <si>
    <t>GCEBILE</t>
  </si>
  <si>
    <t>301942_02</t>
  </si>
  <si>
    <t>ALINAH</t>
  </si>
  <si>
    <t>040000038786</t>
  </si>
  <si>
    <t>3027073_03</t>
  </si>
  <si>
    <t>KHANYILE</t>
  </si>
  <si>
    <t>VE</t>
  </si>
  <si>
    <t>VICTORIA</t>
  </si>
  <si>
    <t>30553_02</t>
  </si>
  <si>
    <t>HLATSHWAKO</t>
  </si>
  <si>
    <t>DORIS</t>
  </si>
  <si>
    <t>3066889_01</t>
  </si>
  <si>
    <t>NE</t>
  </si>
  <si>
    <t>NTOMBI</t>
  </si>
  <si>
    <t>3070260_01</t>
  </si>
  <si>
    <t>BM</t>
  </si>
  <si>
    <t>3116719_01</t>
  </si>
  <si>
    <t>CL</t>
  </si>
  <si>
    <t>CONNIE</t>
  </si>
  <si>
    <t>3129773_01</t>
  </si>
  <si>
    <t>DS</t>
  </si>
  <si>
    <t>DOUGLAS</t>
  </si>
  <si>
    <t>32837_01</t>
  </si>
  <si>
    <t>MAKAMO</t>
  </si>
  <si>
    <t>ELLAH</t>
  </si>
  <si>
    <t>3387085_01</t>
  </si>
  <si>
    <t>MOKGOKONG</t>
  </si>
  <si>
    <t>3499980_02</t>
  </si>
  <si>
    <t>3510735_01</t>
  </si>
  <si>
    <t>MNCINA</t>
  </si>
  <si>
    <t>PM</t>
  </si>
  <si>
    <t>35823_02</t>
  </si>
  <si>
    <t>36589_06</t>
  </si>
  <si>
    <t>4183334_01</t>
  </si>
  <si>
    <t>ZUBUKO-MAGAGULA</t>
  </si>
  <si>
    <t>S S</t>
  </si>
  <si>
    <t>SIPHILANGANI</t>
  </si>
  <si>
    <t>4188669_01</t>
  </si>
  <si>
    <t>MM</t>
  </si>
  <si>
    <t>MHLAMBANYATSI</t>
  </si>
  <si>
    <t>4248464_03</t>
  </si>
  <si>
    <t>NSIBANDE</t>
  </si>
  <si>
    <t>SIPHIWE</t>
  </si>
  <si>
    <t>4258054_01</t>
  </si>
  <si>
    <t>T M</t>
  </si>
  <si>
    <t>THANDIWE</t>
  </si>
  <si>
    <t>4561_01</t>
  </si>
  <si>
    <t>THUMBELA</t>
  </si>
  <si>
    <t>RJ</t>
  </si>
  <si>
    <t>REJINAH</t>
  </si>
  <si>
    <t>4757412_01</t>
  </si>
  <si>
    <t>CZ</t>
  </si>
  <si>
    <t>CHRISTABEL</t>
  </si>
  <si>
    <t>4797054_01</t>
  </si>
  <si>
    <t>PRECIOUS</t>
  </si>
  <si>
    <t>4932657_01</t>
  </si>
  <si>
    <t>56644_01</t>
  </si>
  <si>
    <t>JS</t>
  </si>
  <si>
    <t>JENETHA</t>
  </si>
  <si>
    <t>56806_01</t>
  </si>
  <si>
    <t>STELLA</t>
  </si>
  <si>
    <t>6142371_02</t>
  </si>
  <si>
    <t>TSELA</t>
  </si>
  <si>
    <t>SONTO</t>
  </si>
  <si>
    <t>6143970_01</t>
  </si>
  <si>
    <t>6203359_01</t>
  </si>
  <si>
    <t>WM</t>
  </si>
  <si>
    <t>WILSON</t>
  </si>
  <si>
    <t>6367237_01</t>
  </si>
  <si>
    <t>BHEKITHEMBA</t>
  </si>
  <si>
    <t>6536240_01</t>
  </si>
  <si>
    <t>NH</t>
  </si>
  <si>
    <t>NONOPHILE</t>
  </si>
  <si>
    <t>66561_01</t>
  </si>
  <si>
    <t>NTSHALINTSHALI</t>
  </si>
  <si>
    <t>MESHACK</t>
  </si>
  <si>
    <t>69270_01</t>
  </si>
  <si>
    <t>MNDZAWE</t>
  </si>
  <si>
    <t>DUDUZILE</t>
  </si>
  <si>
    <t>7017368_01</t>
  </si>
  <si>
    <t>MAKHANYA</t>
  </si>
  <si>
    <t>7018376_01</t>
  </si>
  <si>
    <t>IH</t>
  </si>
  <si>
    <t>IDAH</t>
  </si>
  <si>
    <t>7183869_01</t>
  </si>
  <si>
    <t>NN</t>
  </si>
  <si>
    <t>NOMPUMELELO</t>
  </si>
  <si>
    <t>8313258_01</t>
  </si>
  <si>
    <t>BHEMBE</t>
  </si>
  <si>
    <t>ZT</t>
  </si>
  <si>
    <t>8760966_02</t>
  </si>
  <si>
    <t>DLAMINI-MAHLALELA</t>
  </si>
  <si>
    <t>D P</t>
  </si>
  <si>
    <t>DANSILE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</si>
</sst>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9DA91-E8F6-4EC5-B659-995D20CC54DF}">
  <dimension ref="A1:AC233"/>
  <sheetViews>
    <sheetView tabSelected="1" workbookViewId="0">
      <selection activeCell="G1" sqref="G1"/>
    </sheetView>
  </sheetViews>
  <sheetFormatPr defaultRowHeight="14.4" x14ac:dyDescent="0.3"/>
  <cols>
    <col min="6" max="6" width="11.6640625" customWidth="1"/>
    <col min="7" max="7" width="11.88671875" customWidth="1"/>
    <col min="11" max="11" width="18.44140625" customWidth="1"/>
    <col min="12" max="12" width="10.44140625" customWidth="1"/>
    <col min="13" max="13" width="11.21875" customWidth="1"/>
    <col min="14" max="14" width="10.33203125" customWidth="1"/>
  </cols>
  <sheetData>
    <row r="1" spans="1:2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4" customFormat="1" x14ac:dyDescent="0.3">
      <c r="A2" s="4" t="s">
        <v>29</v>
      </c>
      <c r="B2" s="4">
        <v>29133</v>
      </c>
      <c r="C2" s="4">
        <v>29133</v>
      </c>
      <c r="D2" s="4" t="s">
        <v>30</v>
      </c>
      <c r="E2" s="4" t="s">
        <v>31</v>
      </c>
      <c r="F2" s="4" t="s">
        <v>32</v>
      </c>
      <c r="G2" s="5">
        <v>13221</v>
      </c>
      <c r="H2" s="4">
        <f>DAY(G2)</f>
        <v>12</v>
      </c>
      <c r="I2" s="4">
        <f>MONTH(G2)</f>
        <v>3</v>
      </c>
      <c r="J2" s="4">
        <f>YEAR(G2)</f>
        <v>1936</v>
      </c>
      <c r="K2" s="6">
        <v>3603121100034</v>
      </c>
      <c r="L2" s="5">
        <v>38200</v>
      </c>
      <c r="M2" s="5">
        <v>45474</v>
      </c>
      <c r="N2" s="5">
        <v>45838</v>
      </c>
      <c r="O2" s="4">
        <v>3638.85</v>
      </c>
      <c r="P2" s="4">
        <v>1</v>
      </c>
      <c r="Q2" s="4" t="s">
        <v>33</v>
      </c>
      <c r="R2" s="4" t="s">
        <v>34</v>
      </c>
      <c r="S2" s="4">
        <v>90004</v>
      </c>
      <c r="T2" s="4">
        <v>51000767623</v>
      </c>
      <c r="U2" s="4">
        <v>0</v>
      </c>
      <c r="V2" s="4">
        <v>0</v>
      </c>
      <c r="W2" s="4">
        <v>0</v>
      </c>
      <c r="X2" s="4">
        <v>0</v>
      </c>
      <c r="Y2" s="4">
        <v>3638.85</v>
      </c>
      <c r="Z2" s="4">
        <v>3638.85</v>
      </c>
      <c r="AA2" s="4" t="s">
        <v>35</v>
      </c>
    </row>
    <row r="3" spans="1:29" s="4" customFormat="1" x14ac:dyDescent="0.3">
      <c r="A3" s="4" t="s">
        <v>29</v>
      </c>
      <c r="B3" s="4">
        <v>29292</v>
      </c>
      <c r="C3" s="4">
        <v>29292</v>
      </c>
      <c r="D3" s="4" t="s">
        <v>36</v>
      </c>
      <c r="E3" s="4" t="s">
        <v>37</v>
      </c>
      <c r="F3" s="4" t="s">
        <v>38</v>
      </c>
      <c r="G3" s="5">
        <v>17236</v>
      </c>
      <c r="H3" s="4">
        <f>DAY(G3)</f>
        <v>10</v>
      </c>
      <c r="I3" s="4">
        <f>MONTH(G3)</f>
        <v>3</v>
      </c>
      <c r="J3" s="4">
        <f>YEAR(G3)</f>
        <v>1947</v>
      </c>
      <c r="K3" s="6">
        <v>4803106100079</v>
      </c>
      <c r="L3" s="5">
        <v>38200</v>
      </c>
      <c r="M3" s="5">
        <v>45474</v>
      </c>
      <c r="N3" s="5">
        <v>45838</v>
      </c>
      <c r="O3" s="4">
        <v>3281.38</v>
      </c>
      <c r="P3" s="4">
        <v>1</v>
      </c>
      <c r="Q3" s="4" t="s">
        <v>33</v>
      </c>
      <c r="R3" s="4" t="s">
        <v>34</v>
      </c>
      <c r="S3" s="4">
        <v>660564</v>
      </c>
      <c r="T3" s="4">
        <v>9110000313486</v>
      </c>
      <c r="U3" s="4">
        <v>0</v>
      </c>
      <c r="V3" s="4">
        <v>0</v>
      </c>
      <c r="W3" s="4">
        <v>0</v>
      </c>
      <c r="X3" s="4">
        <v>0</v>
      </c>
      <c r="Y3" s="4">
        <v>3281.38</v>
      </c>
      <c r="Z3" s="4">
        <v>3281.38</v>
      </c>
      <c r="AA3" s="4" t="s">
        <v>35</v>
      </c>
    </row>
    <row r="4" spans="1:29" s="4" customFormat="1" x14ac:dyDescent="0.3">
      <c r="A4" s="4" t="s">
        <v>29</v>
      </c>
      <c r="B4" s="4">
        <v>29460</v>
      </c>
      <c r="C4" s="4">
        <v>29460</v>
      </c>
      <c r="D4" s="4" t="s">
        <v>39</v>
      </c>
      <c r="E4" s="4" t="s">
        <v>40</v>
      </c>
      <c r="F4" s="4" t="s">
        <v>41</v>
      </c>
      <c r="G4" s="5">
        <v>15773</v>
      </c>
      <c r="H4" s="4">
        <f>DAY(G4)</f>
        <v>8</v>
      </c>
      <c r="I4" s="4">
        <f>MONTH(G4)</f>
        <v>3</v>
      </c>
      <c r="J4" s="4">
        <f>YEAR(G4)</f>
        <v>1943</v>
      </c>
      <c r="K4" s="6">
        <v>4301016101543</v>
      </c>
      <c r="L4" s="5">
        <v>38200</v>
      </c>
      <c r="M4" s="5">
        <v>45474</v>
      </c>
      <c r="N4" s="5">
        <v>45838</v>
      </c>
      <c r="O4" s="4">
        <v>2256.54</v>
      </c>
      <c r="P4" s="4">
        <v>1</v>
      </c>
      <c r="Q4" s="4" t="s">
        <v>33</v>
      </c>
      <c r="R4" s="4" t="s">
        <v>34</v>
      </c>
      <c r="S4" s="4">
        <v>770002</v>
      </c>
      <c r="T4" s="4">
        <v>2040113936601</v>
      </c>
      <c r="U4" s="4">
        <v>0</v>
      </c>
      <c r="V4" s="4">
        <v>0</v>
      </c>
      <c r="W4" s="4">
        <v>0</v>
      </c>
      <c r="X4" s="4">
        <v>0</v>
      </c>
      <c r="Y4" s="4">
        <v>2256.54</v>
      </c>
      <c r="Z4" s="4">
        <v>2256.54</v>
      </c>
      <c r="AA4" s="4" t="s">
        <v>35</v>
      </c>
    </row>
    <row r="5" spans="1:29" s="4" customFormat="1" x14ac:dyDescent="0.3">
      <c r="A5" s="4" t="s">
        <v>29</v>
      </c>
      <c r="B5" s="4">
        <v>30383</v>
      </c>
      <c r="C5" s="4">
        <v>30383</v>
      </c>
      <c r="D5" s="4" t="s">
        <v>42</v>
      </c>
      <c r="E5" s="4" t="s">
        <v>43</v>
      </c>
      <c r="F5" s="4" t="s">
        <v>44</v>
      </c>
      <c r="G5" s="5">
        <v>13212</v>
      </c>
      <c r="H5" s="4">
        <f>DAY(G5)</f>
        <v>3</v>
      </c>
      <c r="I5" s="4">
        <f>MONTH(G5)</f>
        <v>3</v>
      </c>
      <c r="J5" s="4">
        <f>YEAR(G5)</f>
        <v>1936</v>
      </c>
      <c r="K5" s="6">
        <v>3603031100025</v>
      </c>
      <c r="L5" s="5">
        <v>38200</v>
      </c>
      <c r="M5" s="5">
        <v>45474</v>
      </c>
      <c r="N5" s="5">
        <v>45838</v>
      </c>
      <c r="O5" s="4">
        <v>1920.57</v>
      </c>
      <c r="P5" s="4">
        <v>1</v>
      </c>
      <c r="Q5" s="4" t="s">
        <v>33</v>
      </c>
      <c r="R5" s="4" t="s">
        <v>34</v>
      </c>
      <c r="S5" s="4">
        <v>90001</v>
      </c>
      <c r="T5" s="4">
        <v>51001351773</v>
      </c>
      <c r="U5" s="4">
        <v>0</v>
      </c>
      <c r="V5" s="4">
        <v>0</v>
      </c>
      <c r="W5" s="4">
        <v>0</v>
      </c>
      <c r="X5" s="4">
        <v>0</v>
      </c>
      <c r="Y5" s="4">
        <v>1920.57</v>
      </c>
      <c r="Z5" s="4">
        <v>1920.57</v>
      </c>
      <c r="AA5" s="4" t="s">
        <v>35</v>
      </c>
    </row>
    <row r="6" spans="1:29" s="4" customFormat="1" x14ac:dyDescent="0.3">
      <c r="A6" s="4" t="s">
        <v>29</v>
      </c>
      <c r="B6" s="4">
        <v>31248</v>
      </c>
      <c r="C6" s="4">
        <v>31248</v>
      </c>
      <c r="D6" s="4" t="s">
        <v>45</v>
      </c>
      <c r="E6" s="4" t="s">
        <v>46</v>
      </c>
      <c r="F6" s="4" t="s">
        <v>47</v>
      </c>
      <c r="G6" s="5">
        <v>17963</v>
      </c>
      <c r="H6" s="4">
        <f>DAY(G6)</f>
        <v>6</v>
      </c>
      <c r="I6" s="4">
        <f>MONTH(G6)</f>
        <v>3</v>
      </c>
      <c r="J6" s="4">
        <f>YEAR(G6)</f>
        <v>1949</v>
      </c>
      <c r="K6" s="6">
        <v>4903291100031</v>
      </c>
      <c r="L6" s="5">
        <v>38200</v>
      </c>
      <c r="M6" s="5">
        <v>45474</v>
      </c>
      <c r="N6" s="5">
        <v>45838</v>
      </c>
      <c r="O6" s="4">
        <v>1920.57</v>
      </c>
      <c r="P6" s="4">
        <v>1</v>
      </c>
      <c r="Q6" s="4" t="s">
        <v>33</v>
      </c>
      <c r="R6" s="4" t="s">
        <v>34</v>
      </c>
      <c r="S6" s="4">
        <v>90001</v>
      </c>
      <c r="T6" s="4">
        <v>51000223291</v>
      </c>
      <c r="U6" s="4">
        <v>0</v>
      </c>
      <c r="V6" s="4">
        <v>0</v>
      </c>
      <c r="W6" s="4">
        <v>0</v>
      </c>
      <c r="X6" s="4">
        <v>0</v>
      </c>
      <c r="Y6" s="4">
        <v>1920.57</v>
      </c>
      <c r="Z6" s="4">
        <v>1920.57</v>
      </c>
      <c r="AA6" s="4" t="s">
        <v>35</v>
      </c>
    </row>
    <row r="7" spans="1:29" s="4" customFormat="1" x14ac:dyDescent="0.3">
      <c r="A7" s="4" t="s">
        <v>29</v>
      </c>
      <c r="B7" s="4">
        <v>32988</v>
      </c>
      <c r="C7" s="4">
        <v>32988</v>
      </c>
      <c r="D7" s="4" t="s">
        <v>48</v>
      </c>
      <c r="E7" s="4" t="s">
        <v>49</v>
      </c>
      <c r="F7" s="4" t="s">
        <v>50</v>
      </c>
      <c r="G7" s="5">
        <v>16142</v>
      </c>
      <c r="H7" s="4">
        <f>DAY(G7)</f>
        <v>11</v>
      </c>
      <c r="I7" s="4">
        <f>MONTH(G7)</f>
        <v>3</v>
      </c>
      <c r="J7" s="4">
        <f>YEAR(G7)</f>
        <v>1944</v>
      </c>
      <c r="K7" s="6">
        <v>4403116100043</v>
      </c>
      <c r="L7" s="5">
        <v>38200</v>
      </c>
      <c r="M7" s="5">
        <v>45474</v>
      </c>
      <c r="N7" s="5">
        <v>45838</v>
      </c>
      <c r="O7" s="4">
        <v>1920.57</v>
      </c>
      <c r="P7" s="4">
        <v>1</v>
      </c>
      <c r="Q7" s="4" t="s">
        <v>33</v>
      </c>
      <c r="R7" s="4" t="s">
        <v>34</v>
      </c>
      <c r="S7" s="4">
        <v>90001</v>
      </c>
      <c r="T7" s="4">
        <v>51000605453</v>
      </c>
      <c r="U7" s="4">
        <v>0</v>
      </c>
      <c r="V7" s="4">
        <v>0</v>
      </c>
      <c r="W7" s="4">
        <v>0</v>
      </c>
      <c r="X7" s="4">
        <v>0</v>
      </c>
      <c r="Y7" s="4">
        <v>1920.57</v>
      </c>
      <c r="Z7" s="4">
        <v>1920.57</v>
      </c>
      <c r="AA7" s="4" t="s">
        <v>35</v>
      </c>
    </row>
    <row r="8" spans="1:29" s="4" customFormat="1" x14ac:dyDescent="0.3">
      <c r="A8" s="4" t="s">
        <v>29</v>
      </c>
      <c r="B8" s="4">
        <v>33378</v>
      </c>
      <c r="C8" s="4">
        <v>33378</v>
      </c>
      <c r="D8" s="4" t="s">
        <v>51</v>
      </c>
      <c r="E8" s="4" t="s">
        <v>52</v>
      </c>
      <c r="F8" s="4" t="s">
        <v>53</v>
      </c>
      <c r="G8" s="5">
        <v>20519</v>
      </c>
      <c r="H8" s="4">
        <f>DAY(G8)</f>
        <v>5</v>
      </c>
      <c r="I8" s="4">
        <f>MONTH(G8)</f>
        <v>3</v>
      </c>
      <c r="J8" s="4">
        <f>YEAR(G8)</f>
        <v>1956</v>
      </c>
      <c r="K8" s="6">
        <v>5603051100200</v>
      </c>
      <c r="L8" s="5">
        <v>38200</v>
      </c>
      <c r="M8" s="5">
        <v>45474</v>
      </c>
      <c r="N8" s="5">
        <v>45838</v>
      </c>
      <c r="O8" s="4">
        <v>4635.3500000000004</v>
      </c>
      <c r="P8" s="4">
        <v>1</v>
      </c>
      <c r="Q8" s="4" t="s">
        <v>33</v>
      </c>
      <c r="R8" s="4" t="s">
        <v>34</v>
      </c>
      <c r="S8" s="4">
        <v>770001</v>
      </c>
      <c r="T8" s="4">
        <v>77057039800</v>
      </c>
      <c r="U8" s="4">
        <v>0</v>
      </c>
      <c r="V8" s="4">
        <v>0</v>
      </c>
      <c r="W8" s="4">
        <v>0</v>
      </c>
      <c r="X8" s="4">
        <v>18.73</v>
      </c>
      <c r="Y8" s="4">
        <v>4635.3500000000004</v>
      </c>
      <c r="Z8" s="4">
        <v>4616.62</v>
      </c>
      <c r="AA8" s="4" t="s">
        <v>35</v>
      </c>
    </row>
    <row r="9" spans="1:29" s="4" customFormat="1" x14ac:dyDescent="0.3">
      <c r="A9" s="4" t="s">
        <v>29</v>
      </c>
      <c r="B9" s="4">
        <v>33787</v>
      </c>
      <c r="C9" s="4">
        <v>33787</v>
      </c>
      <c r="D9" s="4" t="s">
        <v>54</v>
      </c>
      <c r="E9" s="4" t="s">
        <v>55</v>
      </c>
      <c r="F9" s="4" t="s">
        <v>56</v>
      </c>
      <c r="G9" s="5">
        <v>14311</v>
      </c>
      <c r="H9" s="4">
        <f>DAY(G9)</f>
        <v>7</v>
      </c>
      <c r="I9" s="4">
        <f>MONTH(G9)</f>
        <v>3</v>
      </c>
      <c r="J9" s="4">
        <f>YEAR(G9)</f>
        <v>1939</v>
      </c>
      <c r="K9" s="6">
        <v>3912316100067</v>
      </c>
      <c r="L9" s="5">
        <v>38200</v>
      </c>
      <c r="M9" s="5">
        <v>45474</v>
      </c>
      <c r="N9" s="5">
        <v>45838</v>
      </c>
      <c r="O9" s="4">
        <v>2702.18</v>
      </c>
      <c r="P9" s="4">
        <v>1</v>
      </c>
      <c r="Q9" s="4" t="s">
        <v>33</v>
      </c>
      <c r="R9" s="4" t="s">
        <v>34</v>
      </c>
      <c r="S9" s="4">
        <v>360264</v>
      </c>
      <c r="T9" s="7" t="s">
        <v>57</v>
      </c>
      <c r="U9" s="4">
        <v>0</v>
      </c>
      <c r="V9" s="4">
        <v>0</v>
      </c>
      <c r="W9" s="4">
        <v>0</v>
      </c>
      <c r="X9" s="4">
        <v>0</v>
      </c>
      <c r="Y9" s="4">
        <v>2702.18</v>
      </c>
      <c r="Z9" s="4">
        <v>2702.18</v>
      </c>
      <c r="AA9" s="4" t="s">
        <v>35</v>
      </c>
    </row>
    <row r="10" spans="1:29" s="4" customFormat="1" x14ac:dyDescent="0.3">
      <c r="A10" s="4" t="s">
        <v>29</v>
      </c>
      <c r="B10" s="4">
        <v>34880</v>
      </c>
      <c r="C10" s="4">
        <v>34880</v>
      </c>
      <c r="D10" s="4" t="s">
        <v>58</v>
      </c>
      <c r="E10" s="4" t="s">
        <v>59</v>
      </c>
      <c r="F10" s="4" t="s">
        <v>60</v>
      </c>
      <c r="G10" s="5">
        <v>14310</v>
      </c>
      <c r="H10" s="4">
        <f>DAY(G10)</f>
        <v>6</v>
      </c>
      <c r="I10" s="4">
        <f>MONTH(G10)</f>
        <v>3</v>
      </c>
      <c r="J10" s="4">
        <f>YEAR(G10)</f>
        <v>1939</v>
      </c>
      <c r="K10" s="6">
        <v>3903006100007</v>
      </c>
      <c r="L10" s="5">
        <v>38200</v>
      </c>
      <c r="M10" s="5">
        <v>45474</v>
      </c>
      <c r="N10" s="5">
        <v>45838</v>
      </c>
      <c r="O10" s="4">
        <v>4673.92</v>
      </c>
      <c r="P10" s="4">
        <v>1</v>
      </c>
      <c r="Q10" s="4" t="s">
        <v>33</v>
      </c>
      <c r="R10" s="4" t="s">
        <v>34</v>
      </c>
      <c r="S10" s="4">
        <v>663164</v>
      </c>
      <c r="T10" s="4">
        <v>9110004049058</v>
      </c>
      <c r="U10" s="4">
        <v>0</v>
      </c>
      <c r="V10" s="4">
        <v>0</v>
      </c>
      <c r="W10" s="4">
        <v>0</v>
      </c>
      <c r="X10" s="4">
        <v>26.45</v>
      </c>
      <c r="Y10" s="4">
        <v>4673.92</v>
      </c>
      <c r="Z10" s="4">
        <v>4647.47</v>
      </c>
      <c r="AA10" s="4" t="s">
        <v>35</v>
      </c>
    </row>
    <row r="11" spans="1:29" s="4" customFormat="1" x14ac:dyDescent="0.3">
      <c r="A11" s="4" t="s">
        <v>29</v>
      </c>
      <c r="B11" s="4">
        <v>35137</v>
      </c>
      <c r="C11" s="4">
        <v>35137</v>
      </c>
      <c r="D11" s="4" t="s">
        <v>61</v>
      </c>
      <c r="E11" s="4" t="s">
        <v>40</v>
      </c>
      <c r="F11" s="4" t="s">
        <v>62</v>
      </c>
      <c r="G11" s="5">
        <v>14674</v>
      </c>
      <c r="H11" s="4">
        <f>DAY(G11)</f>
        <v>4</v>
      </c>
      <c r="I11" s="4">
        <f>MONTH(G11)</f>
        <v>3</v>
      </c>
      <c r="J11" s="4">
        <f>YEAR(G11)</f>
        <v>1940</v>
      </c>
      <c r="K11" s="6">
        <v>4004036100020</v>
      </c>
      <c r="L11" s="5">
        <v>38200</v>
      </c>
      <c r="M11" s="5">
        <v>45474</v>
      </c>
      <c r="N11" s="5">
        <v>45838</v>
      </c>
      <c r="O11" s="4">
        <v>6626.24</v>
      </c>
      <c r="P11" s="4">
        <v>1</v>
      </c>
      <c r="Q11" s="4" t="s">
        <v>33</v>
      </c>
      <c r="R11" s="4" t="s">
        <v>34</v>
      </c>
      <c r="S11" s="4">
        <v>660564</v>
      </c>
      <c r="T11" s="4">
        <v>9110006204026</v>
      </c>
      <c r="U11" s="4">
        <v>0</v>
      </c>
      <c r="V11" s="4">
        <v>0</v>
      </c>
      <c r="W11" s="4">
        <v>0</v>
      </c>
      <c r="X11" s="4">
        <v>416.91</v>
      </c>
      <c r="Y11" s="4">
        <v>6626.24</v>
      </c>
      <c r="Z11" s="4">
        <v>6209.33</v>
      </c>
      <c r="AA11" s="4" t="s">
        <v>35</v>
      </c>
    </row>
    <row r="12" spans="1:29" s="4" customFormat="1" x14ac:dyDescent="0.3">
      <c r="A12" s="4" t="s">
        <v>29</v>
      </c>
      <c r="B12" s="4">
        <v>35859</v>
      </c>
      <c r="C12" s="4">
        <v>35859</v>
      </c>
      <c r="D12" s="4" t="s">
        <v>63</v>
      </c>
      <c r="E12" s="4" t="s">
        <v>64</v>
      </c>
      <c r="F12" s="4" t="s">
        <v>65</v>
      </c>
      <c r="G12" s="5">
        <v>11768</v>
      </c>
      <c r="H12" s="4">
        <f>DAY(G12)</f>
        <v>20</v>
      </c>
      <c r="I12" s="4">
        <f>MONTH(G12)</f>
        <v>3</v>
      </c>
      <c r="J12" s="4">
        <f>YEAR(G12)</f>
        <v>1932</v>
      </c>
      <c r="K12" s="6">
        <v>3203206000132</v>
      </c>
      <c r="L12" s="5">
        <v>38200</v>
      </c>
      <c r="M12" s="5">
        <v>45474</v>
      </c>
      <c r="N12" s="5">
        <v>45838</v>
      </c>
      <c r="O12" s="4">
        <v>2100.5300000000002</v>
      </c>
      <c r="P12" s="4">
        <v>1</v>
      </c>
      <c r="Q12" s="4" t="s">
        <v>33</v>
      </c>
      <c r="R12" s="4" t="s">
        <v>34</v>
      </c>
      <c r="S12" s="4">
        <v>660964</v>
      </c>
      <c r="T12" s="4">
        <v>9110003207164</v>
      </c>
      <c r="U12" s="4">
        <v>0</v>
      </c>
      <c r="V12" s="4">
        <v>0</v>
      </c>
      <c r="W12" s="4">
        <v>0</v>
      </c>
      <c r="X12" s="4">
        <v>0</v>
      </c>
      <c r="Y12" s="4">
        <v>2100.5300000000002</v>
      </c>
      <c r="Z12" s="4">
        <v>2100.5300000000002</v>
      </c>
      <c r="AA12" s="4" t="s">
        <v>35</v>
      </c>
    </row>
    <row r="13" spans="1:29" s="4" customFormat="1" x14ac:dyDescent="0.3">
      <c r="A13" s="4" t="s">
        <v>29</v>
      </c>
      <c r="B13" s="4">
        <v>35979</v>
      </c>
      <c r="C13" s="4">
        <v>35979</v>
      </c>
      <c r="D13" s="4" t="s">
        <v>66</v>
      </c>
      <c r="E13" s="4" t="s">
        <v>52</v>
      </c>
      <c r="F13" s="4" t="s">
        <v>67</v>
      </c>
      <c r="G13" s="5">
        <v>11776</v>
      </c>
      <c r="H13" s="4">
        <f>DAY(G13)</f>
        <v>28</v>
      </c>
      <c r="I13" s="4">
        <f>MONTH(G13)</f>
        <v>3</v>
      </c>
      <c r="J13" s="4">
        <f>YEAR(G13)</f>
        <v>1932</v>
      </c>
      <c r="K13" s="6">
        <v>3203281100013</v>
      </c>
      <c r="L13" s="5">
        <v>38200</v>
      </c>
      <c r="M13" s="5">
        <v>45474</v>
      </c>
      <c r="N13" s="5">
        <v>45838</v>
      </c>
      <c r="O13" s="4">
        <v>1920.57</v>
      </c>
      <c r="P13" s="4">
        <v>1</v>
      </c>
      <c r="Q13" s="4" t="s">
        <v>33</v>
      </c>
      <c r="R13" s="4" t="s">
        <v>34</v>
      </c>
      <c r="S13" s="4">
        <v>660964</v>
      </c>
      <c r="T13" s="4">
        <v>9110002915408</v>
      </c>
      <c r="U13" s="4">
        <v>0</v>
      </c>
      <c r="V13" s="4">
        <v>0</v>
      </c>
      <c r="W13" s="4">
        <v>0</v>
      </c>
      <c r="X13" s="4">
        <v>0</v>
      </c>
      <c r="Y13" s="4">
        <v>1920.57</v>
      </c>
      <c r="Z13" s="4">
        <v>1920.57</v>
      </c>
      <c r="AA13" s="4" t="s">
        <v>35</v>
      </c>
    </row>
    <row r="14" spans="1:29" s="4" customFormat="1" x14ac:dyDescent="0.3">
      <c r="A14" s="4" t="s">
        <v>29</v>
      </c>
      <c r="B14" s="4">
        <v>36265</v>
      </c>
      <c r="C14" s="4">
        <v>36265</v>
      </c>
      <c r="D14" s="4" t="s">
        <v>68</v>
      </c>
      <c r="E14" s="4" t="s">
        <v>69</v>
      </c>
      <c r="F14" s="4" t="s">
        <v>70</v>
      </c>
      <c r="G14" s="5">
        <v>16508</v>
      </c>
      <c r="H14" s="4">
        <f>DAY(G14)</f>
        <v>12</v>
      </c>
      <c r="I14" s="4">
        <f>MONTH(G14)</f>
        <v>3</v>
      </c>
      <c r="J14" s="4">
        <f>YEAR(G14)</f>
        <v>1945</v>
      </c>
      <c r="K14" s="6">
        <v>4503206100017</v>
      </c>
      <c r="L14" s="5">
        <v>38200</v>
      </c>
      <c r="M14" s="5">
        <v>45474</v>
      </c>
      <c r="N14" s="5">
        <v>45838</v>
      </c>
      <c r="O14" s="4">
        <v>1920.57</v>
      </c>
      <c r="P14" s="4">
        <v>1</v>
      </c>
      <c r="Q14" s="4" t="s">
        <v>33</v>
      </c>
      <c r="R14" s="4" t="s">
        <v>34</v>
      </c>
      <c r="S14" s="4">
        <v>90001</v>
      </c>
      <c r="T14" s="4">
        <v>52000320996</v>
      </c>
      <c r="U14" s="4">
        <v>0</v>
      </c>
      <c r="V14" s="4">
        <v>0</v>
      </c>
      <c r="W14" s="4">
        <v>0</v>
      </c>
      <c r="X14" s="4">
        <v>0</v>
      </c>
      <c r="Y14" s="4">
        <v>1920.57</v>
      </c>
      <c r="Z14" s="4">
        <v>1920.57</v>
      </c>
      <c r="AA14" s="4" t="s">
        <v>35</v>
      </c>
    </row>
    <row r="15" spans="1:29" s="4" customFormat="1" x14ac:dyDescent="0.3">
      <c r="A15" s="4" t="s">
        <v>29</v>
      </c>
      <c r="B15" s="4">
        <v>55704</v>
      </c>
      <c r="C15" s="4">
        <v>55704</v>
      </c>
      <c r="D15" s="4" t="s">
        <v>71</v>
      </c>
      <c r="E15" s="4" t="s">
        <v>72</v>
      </c>
      <c r="F15" s="4" t="s">
        <v>73</v>
      </c>
      <c r="G15" s="5">
        <v>20151</v>
      </c>
      <c r="H15" s="4">
        <f>DAY(G15)</f>
        <v>3</v>
      </c>
      <c r="I15" s="4">
        <f>MONTH(G15)</f>
        <v>3</v>
      </c>
      <c r="J15" s="4">
        <f>YEAR(G15)</f>
        <v>1955</v>
      </c>
      <c r="K15" s="6">
        <v>5503036100012</v>
      </c>
      <c r="L15" s="5">
        <v>38200</v>
      </c>
      <c r="M15" s="5">
        <v>45474</v>
      </c>
      <c r="N15" s="5">
        <v>45838</v>
      </c>
      <c r="O15" s="4">
        <v>2347.46</v>
      </c>
      <c r="P15" s="4">
        <v>1</v>
      </c>
      <c r="Q15" s="4" t="s">
        <v>33</v>
      </c>
      <c r="R15" s="4" t="s">
        <v>34</v>
      </c>
      <c r="S15" s="4">
        <v>770006</v>
      </c>
      <c r="T15" s="4">
        <v>4140113088801</v>
      </c>
      <c r="U15" s="4">
        <v>0</v>
      </c>
      <c r="V15" s="4">
        <v>0</v>
      </c>
      <c r="W15" s="4">
        <v>0</v>
      </c>
      <c r="X15" s="4">
        <v>0</v>
      </c>
      <c r="Y15" s="4">
        <v>2347.46</v>
      </c>
      <c r="Z15" s="4">
        <v>2347.46</v>
      </c>
      <c r="AA15" s="4" t="s">
        <v>35</v>
      </c>
    </row>
    <row r="16" spans="1:29" s="4" customFormat="1" x14ac:dyDescent="0.3">
      <c r="A16" s="4" t="s">
        <v>29</v>
      </c>
      <c r="B16" s="4">
        <v>69285</v>
      </c>
      <c r="C16" s="4">
        <v>69285</v>
      </c>
      <c r="D16" s="4" t="s">
        <v>66</v>
      </c>
      <c r="E16" s="4" t="s">
        <v>72</v>
      </c>
      <c r="F16" s="4" t="s">
        <v>74</v>
      </c>
      <c r="G16" s="5">
        <v>22720</v>
      </c>
      <c r="H16" s="4">
        <f>DAY(G16)</f>
        <v>15</v>
      </c>
      <c r="I16" s="4">
        <f>MONTH(G16)</f>
        <v>3</v>
      </c>
      <c r="J16" s="4">
        <f>YEAR(G16)</f>
        <v>1962</v>
      </c>
      <c r="K16" s="6">
        <v>6311136100075</v>
      </c>
      <c r="L16" s="5">
        <v>38200</v>
      </c>
      <c r="M16" s="5">
        <v>45474</v>
      </c>
      <c r="N16" s="5">
        <v>45838</v>
      </c>
      <c r="O16" s="4">
        <v>2291.9</v>
      </c>
      <c r="P16" s="4">
        <v>1</v>
      </c>
      <c r="Q16" s="4" t="s">
        <v>33</v>
      </c>
      <c r="R16" s="4" t="s">
        <v>34</v>
      </c>
      <c r="S16" s="4">
        <v>770002</v>
      </c>
      <c r="T16" s="4">
        <v>2040110941201</v>
      </c>
      <c r="U16" s="4">
        <v>0</v>
      </c>
      <c r="V16" s="4">
        <v>0</v>
      </c>
      <c r="W16" s="4">
        <v>0</v>
      </c>
      <c r="X16" s="4">
        <v>0</v>
      </c>
      <c r="Y16" s="4">
        <v>2291.9</v>
      </c>
      <c r="Z16" s="4">
        <v>2291.9</v>
      </c>
      <c r="AA16" s="4" t="s">
        <v>35</v>
      </c>
    </row>
    <row r="17" spans="1:27" s="4" customFormat="1" x14ac:dyDescent="0.3">
      <c r="A17" s="4" t="s">
        <v>29</v>
      </c>
      <c r="B17" s="4">
        <v>211647</v>
      </c>
      <c r="C17" s="4">
        <v>211647</v>
      </c>
      <c r="D17" s="4" t="s">
        <v>75</v>
      </c>
      <c r="E17" s="4" t="s">
        <v>64</v>
      </c>
      <c r="F17" s="4" t="s">
        <v>76</v>
      </c>
      <c r="G17" s="5">
        <v>15771</v>
      </c>
      <c r="H17" s="4">
        <f>DAY(G17)</f>
        <v>6</v>
      </c>
      <c r="I17" s="4">
        <f>MONTH(G17)</f>
        <v>3</v>
      </c>
      <c r="J17" s="4">
        <f>YEAR(G17)</f>
        <v>1943</v>
      </c>
      <c r="K17" s="6">
        <v>4303061100024</v>
      </c>
      <c r="L17" s="5">
        <v>38200</v>
      </c>
      <c r="M17" s="5">
        <v>45474</v>
      </c>
      <c r="N17" s="5">
        <v>45838</v>
      </c>
      <c r="O17" s="4">
        <v>14291.16</v>
      </c>
      <c r="P17" s="4">
        <v>1</v>
      </c>
      <c r="Q17" s="4" t="s">
        <v>33</v>
      </c>
      <c r="R17" s="4" t="s">
        <v>34</v>
      </c>
      <c r="S17" s="4">
        <v>663164</v>
      </c>
      <c r="T17" s="4">
        <v>9110002658227</v>
      </c>
      <c r="U17" s="4">
        <v>20</v>
      </c>
      <c r="V17" s="4">
        <v>0</v>
      </c>
      <c r="W17" s="4">
        <v>0</v>
      </c>
      <c r="X17" s="4">
        <v>2337.34</v>
      </c>
      <c r="Y17" s="4">
        <v>14291.16</v>
      </c>
      <c r="Z17" s="4">
        <v>11933.82</v>
      </c>
      <c r="AA17" s="4" t="s">
        <v>35</v>
      </c>
    </row>
    <row r="18" spans="1:27" s="4" customFormat="1" x14ac:dyDescent="0.3">
      <c r="A18" s="4" t="s">
        <v>29</v>
      </c>
      <c r="B18" s="4">
        <v>213733</v>
      </c>
      <c r="C18" s="4">
        <v>213733</v>
      </c>
      <c r="D18" s="4" t="s">
        <v>66</v>
      </c>
      <c r="E18" s="4" t="s">
        <v>64</v>
      </c>
      <c r="F18" s="4" t="s">
        <v>77</v>
      </c>
      <c r="G18" s="5">
        <v>19788</v>
      </c>
      <c r="H18" s="4">
        <f>DAY(G18)</f>
        <v>5</v>
      </c>
      <c r="I18" s="4">
        <f>MONTH(G18)</f>
        <v>3</v>
      </c>
      <c r="J18" s="4">
        <f>YEAR(G18)</f>
        <v>1954</v>
      </c>
      <c r="K18" s="6">
        <v>5403056100044</v>
      </c>
      <c r="L18" s="5">
        <v>38200</v>
      </c>
      <c r="M18" s="5">
        <v>45474</v>
      </c>
      <c r="N18" s="5">
        <v>45838</v>
      </c>
      <c r="O18" s="4">
        <v>2463.67</v>
      </c>
      <c r="P18" s="4">
        <v>1</v>
      </c>
      <c r="Q18" s="4" t="s">
        <v>33</v>
      </c>
      <c r="R18" s="4" t="s">
        <v>34</v>
      </c>
      <c r="S18" s="4">
        <v>660564</v>
      </c>
      <c r="T18" s="4">
        <v>9110002690953</v>
      </c>
      <c r="U18" s="4">
        <v>0</v>
      </c>
      <c r="V18" s="4">
        <v>0</v>
      </c>
      <c r="W18" s="4">
        <v>0</v>
      </c>
      <c r="X18" s="4">
        <v>0</v>
      </c>
      <c r="Y18" s="4">
        <v>2463.67</v>
      </c>
      <c r="Z18" s="4">
        <v>2463.67</v>
      </c>
      <c r="AA18" s="4" t="s">
        <v>35</v>
      </c>
    </row>
    <row r="19" spans="1:27" s="4" customFormat="1" x14ac:dyDescent="0.3">
      <c r="A19" s="4" t="s">
        <v>29</v>
      </c>
      <c r="B19" s="4">
        <v>217303</v>
      </c>
      <c r="C19" s="4">
        <v>217303</v>
      </c>
      <c r="D19" s="4" t="s">
        <v>78</v>
      </c>
      <c r="E19" s="4" t="s">
        <v>79</v>
      </c>
      <c r="F19" s="4" t="s">
        <v>80</v>
      </c>
      <c r="G19" s="5">
        <v>21257</v>
      </c>
      <c r="H19" s="4">
        <f>DAY(G19)</f>
        <v>13</v>
      </c>
      <c r="I19" s="4">
        <f>MONTH(G19)</f>
        <v>3</v>
      </c>
      <c r="J19" s="4">
        <f>YEAR(G19)</f>
        <v>1958</v>
      </c>
      <c r="K19" s="6">
        <v>5803136100031</v>
      </c>
      <c r="L19" s="5">
        <v>38200</v>
      </c>
      <c r="M19" s="5">
        <v>45474</v>
      </c>
      <c r="N19" s="5">
        <v>45838</v>
      </c>
      <c r="O19" s="4">
        <v>1920.57</v>
      </c>
      <c r="P19" s="4">
        <v>1</v>
      </c>
      <c r="Q19" s="4" t="s">
        <v>33</v>
      </c>
      <c r="R19" s="4" t="s">
        <v>34</v>
      </c>
      <c r="S19" s="4">
        <v>280164</v>
      </c>
      <c r="T19" s="4">
        <v>57710050015</v>
      </c>
      <c r="U19" s="4">
        <v>20</v>
      </c>
      <c r="V19" s="4">
        <v>0</v>
      </c>
      <c r="W19" s="4">
        <v>0</v>
      </c>
      <c r="X19" s="4">
        <v>0</v>
      </c>
      <c r="Y19" s="4">
        <v>1920.57</v>
      </c>
      <c r="Z19" s="4">
        <v>1900.57</v>
      </c>
      <c r="AA19" s="4" t="s">
        <v>35</v>
      </c>
    </row>
    <row r="20" spans="1:27" s="4" customFormat="1" x14ac:dyDescent="0.3">
      <c r="A20" s="4" t="s">
        <v>29</v>
      </c>
      <c r="B20" s="4">
        <v>217846</v>
      </c>
      <c r="C20" s="4">
        <v>217846</v>
      </c>
      <c r="D20" s="4" t="s">
        <v>81</v>
      </c>
      <c r="E20" s="4" t="s">
        <v>79</v>
      </c>
      <c r="F20" s="4" t="s">
        <v>82</v>
      </c>
      <c r="G20" s="5">
        <v>16153</v>
      </c>
      <c r="H20" s="4">
        <f>DAY(G20)</f>
        <v>22</v>
      </c>
      <c r="I20" s="4">
        <f>MONTH(G20)</f>
        <v>3</v>
      </c>
      <c r="J20" s="4">
        <f>YEAR(G20)</f>
        <v>1944</v>
      </c>
      <c r="K20" s="6">
        <v>4406266100010</v>
      </c>
      <c r="L20" s="5">
        <v>38200</v>
      </c>
      <c r="M20" s="5">
        <v>45444</v>
      </c>
      <c r="N20" s="5">
        <v>45838</v>
      </c>
      <c r="O20" s="4">
        <v>1920.57</v>
      </c>
      <c r="P20" s="4">
        <v>1</v>
      </c>
      <c r="Q20" s="4" t="s">
        <v>33</v>
      </c>
      <c r="R20" s="4" t="s">
        <v>34</v>
      </c>
      <c r="S20" s="4">
        <v>770001</v>
      </c>
      <c r="T20" s="4">
        <v>1040115448901</v>
      </c>
      <c r="U20" s="4">
        <v>0</v>
      </c>
      <c r="V20" s="4">
        <v>0</v>
      </c>
      <c r="W20" s="4">
        <v>0</v>
      </c>
      <c r="X20" s="4">
        <v>0</v>
      </c>
      <c r="Y20" s="4">
        <v>1920.57</v>
      </c>
      <c r="Z20" s="4">
        <v>1920.57</v>
      </c>
      <c r="AA20" s="4" t="s">
        <v>35</v>
      </c>
    </row>
    <row r="21" spans="1:27" s="4" customFormat="1" x14ac:dyDescent="0.3">
      <c r="A21" s="4" t="s">
        <v>29</v>
      </c>
      <c r="B21" s="4">
        <v>219966</v>
      </c>
      <c r="C21" s="4">
        <v>219966</v>
      </c>
      <c r="D21" s="4" t="s">
        <v>75</v>
      </c>
      <c r="E21" s="4" t="s">
        <v>79</v>
      </c>
      <c r="F21" s="4" t="s">
        <v>83</v>
      </c>
      <c r="G21" s="5">
        <v>16157</v>
      </c>
      <c r="H21" s="4">
        <f>DAY(G21)</f>
        <v>26</v>
      </c>
      <c r="I21" s="4">
        <f>MONTH(G21)</f>
        <v>3</v>
      </c>
      <c r="J21" s="4">
        <f>YEAR(G21)</f>
        <v>1944</v>
      </c>
      <c r="K21" s="6">
        <v>4203241100011</v>
      </c>
      <c r="L21" s="5">
        <v>38322</v>
      </c>
      <c r="M21" s="5">
        <v>45474</v>
      </c>
      <c r="N21" s="5">
        <v>45838</v>
      </c>
      <c r="O21" s="4">
        <v>4057.46</v>
      </c>
      <c r="P21" s="4">
        <v>1</v>
      </c>
      <c r="Q21" s="4" t="s">
        <v>33</v>
      </c>
      <c r="R21" s="4" t="s">
        <v>34</v>
      </c>
      <c r="S21" s="4">
        <v>90001</v>
      </c>
      <c r="T21" s="4">
        <v>51000583395</v>
      </c>
      <c r="U21" s="4">
        <v>0</v>
      </c>
      <c r="V21" s="4">
        <v>0</v>
      </c>
      <c r="W21" s="4">
        <v>0</v>
      </c>
      <c r="X21" s="4">
        <v>0</v>
      </c>
      <c r="Y21" s="4">
        <v>4057.46</v>
      </c>
      <c r="Z21" s="4">
        <v>4057.46</v>
      </c>
      <c r="AA21" s="4" t="s">
        <v>35</v>
      </c>
    </row>
    <row r="22" spans="1:27" s="4" customFormat="1" x14ac:dyDescent="0.3">
      <c r="A22" s="4" t="s">
        <v>29</v>
      </c>
      <c r="B22" s="4">
        <v>101770767</v>
      </c>
      <c r="C22" s="4">
        <v>101770767</v>
      </c>
      <c r="D22" s="4" t="s">
        <v>84</v>
      </c>
      <c r="E22" s="4" t="s">
        <v>40</v>
      </c>
      <c r="F22" s="4" t="s">
        <v>85</v>
      </c>
      <c r="G22" s="5">
        <v>31122</v>
      </c>
      <c r="H22" s="4">
        <f>DAY(G22)</f>
        <v>16</v>
      </c>
      <c r="I22" s="4">
        <f>MONTH(G22)</f>
        <v>3</v>
      </c>
      <c r="J22" s="4">
        <f>YEAR(G22)</f>
        <v>1985</v>
      </c>
      <c r="K22" s="6">
        <v>8503166100060</v>
      </c>
      <c r="L22" s="5">
        <v>40544</v>
      </c>
      <c r="M22" s="5">
        <v>45474</v>
      </c>
      <c r="N22" s="5">
        <v>45838</v>
      </c>
      <c r="O22" s="4">
        <v>1920.57</v>
      </c>
      <c r="P22" s="4">
        <v>1</v>
      </c>
      <c r="Q22" s="4" t="s">
        <v>33</v>
      </c>
      <c r="R22" s="4" t="s">
        <v>34</v>
      </c>
      <c r="S22" s="4">
        <v>770001</v>
      </c>
      <c r="T22" s="4">
        <v>1040124382401</v>
      </c>
      <c r="U22" s="4">
        <v>0</v>
      </c>
      <c r="V22" s="4">
        <v>0</v>
      </c>
      <c r="W22" s="4">
        <v>0</v>
      </c>
      <c r="X22" s="4">
        <v>0</v>
      </c>
      <c r="Y22" s="4">
        <v>1920.57</v>
      </c>
      <c r="Z22" s="4">
        <v>1920.57</v>
      </c>
      <c r="AA22" s="4" t="s">
        <v>35</v>
      </c>
    </row>
    <row r="23" spans="1:27" s="4" customFormat="1" x14ac:dyDescent="0.3">
      <c r="A23" s="4" t="s">
        <v>29</v>
      </c>
      <c r="B23" s="4">
        <v>101786690</v>
      </c>
      <c r="C23" s="4">
        <v>101786690</v>
      </c>
      <c r="D23" s="4" t="s">
        <v>86</v>
      </c>
      <c r="E23" s="4" t="s">
        <v>87</v>
      </c>
      <c r="F23" s="4" t="s">
        <v>88</v>
      </c>
      <c r="G23" s="5">
        <v>30757</v>
      </c>
      <c r="H23" s="4">
        <f>DAY(G23)</f>
        <v>16</v>
      </c>
      <c r="I23" s="4">
        <f>MONTH(G23)</f>
        <v>3</v>
      </c>
      <c r="J23" s="4">
        <f>YEAR(G23)</f>
        <v>1984</v>
      </c>
      <c r="K23" s="6">
        <v>8403166100089</v>
      </c>
      <c r="L23" s="5">
        <v>40544</v>
      </c>
      <c r="M23" s="5">
        <v>45474</v>
      </c>
      <c r="N23" s="5">
        <v>45838</v>
      </c>
      <c r="O23" s="4">
        <v>1920.57</v>
      </c>
      <c r="P23" s="4">
        <v>1</v>
      </c>
      <c r="Q23" s="4" t="s">
        <v>33</v>
      </c>
      <c r="R23" s="4" t="s">
        <v>34</v>
      </c>
      <c r="S23" s="4">
        <v>663164</v>
      </c>
      <c r="T23" s="4">
        <v>9110003515403</v>
      </c>
      <c r="U23" s="4">
        <v>0</v>
      </c>
      <c r="V23" s="4">
        <v>0</v>
      </c>
      <c r="W23" s="4">
        <v>0</v>
      </c>
      <c r="X23" s="4">
        <v>0</v>
      </c>
      <c r="Y23" s="4">
        <v>1920.57</v>
      </c>
      <c r="Z23" s="4">
        <v>1920.57</v>
      </c>
      <c r="AA23" s="4" t="s">
        <v>35</v>
      </c>
    </row>
    <row r="24" spans="1:27" s="4" customFormat="1" x14ac:dyDescent="0.3">
      <c r="A24" s="4" t="s">
        <v>29</v>
      </c>
      <c r="B24" s="4">
        <v>102005907</v>
      </c>
      <c r="C24" s="4">
        <v>102005907</v>
      </c>
      <c r="D24" s="4" t="s">
        <v>89</v>
      </c>
      <c r="E24" s="4" t="s">
        <v>46</v>
      </c>
      <c r="F24" s="4" t="s">
        <v>90</v>
      </c>
      <c r="G24" s="5">
        <v>33306</v>
      </c>
      <c r="H24" s="4">
        <f>DAY(G24)</f>
        <v>9</v>
      </c>
      <c r="I24" s="4">
        <f>MONTH(G24)</f>
        <v>3</v>
      </c>
      <c r="J24" s="4">
        <f>YEAR(G24)</f>
        <v>1991</v>
      </c>
      <c r="K24" s="6">
        <v>9103096100337</v>
      </c>
      <c r="L24" s="5">
        <v>44440</v>
      </c>
      <c r="M24" s="5">
        <v>45474</v>
      </c>
      <c r="N24" s="5">
        <v>45838</v>
      </c>
      <c r="O24" s="4">
        <v>1674.11</v>
      </c>
      <c r="P24" s="4">
        <v>1</v>
      </c>
      <c r="Q24" s="4" t="s">
        <v>33</v>
      </c>
      <c r="R24" s="4" t="s">
        <v>34</v>
      </c>
      <c r="S24" s="4">
        <v>280164</v>
      </c>
      <c r="T24" s="4">
        <v>62251238400</v>
      </c>
      <c r="U24" s="4">
        <v>0</v>
      </c>
      <c r="V24" s="4">
        <v>0</v>
      </c>
      <c r="W24" s="4">
        <v>0</v>
      </c>
      <c r="X24" s="4">
        <v>0</v>
      </c>
      <c r="Y24" s="4">
        <v>1674.11</v>
      </c>
      <c r="Z24" s="4">
        <v>1674.11</v>
      </c>
      <c r="AA24" s="4" t="s">
        <v>35</v>
      </c>
    </row>
    <row r="25" spans="1:27" s="4" customFormat="1" x14ac:dyDescent="0.3">
      <c r="A25" s="4" t="s">
        <v>29</v>
      </c>
      <c r="B25" s="4">
        <v>2048866</v>
      </c>
      <c r="C25" s="4">
        <v>2048866</v>
      </c>
      <c r="D25" s="4" t="s">
        <v>66</v>
      </c>
      <c r="E25" s="4" t="s">
        <v>64</v>
      </c>
      <c r="F25" s="4" t="s">
        <v>91</v>
      </c>
      <c r="G25" s="5">
        <v>19083</v>
      </c>
      <c r="H25" s="4">
        <f>DAY(G25)</f>
        <v>30</v>
      </c>
      <c r="I25" s="4">
        <f>MONTH(G25)</f>
        <v>3</v>
      </c>
      <c r="J25" s="4">
        <f>YEAR(G25)</f>
        <v>1952</v>
      </c>
      <c r="K25" s="6">
        <v>5203306100053</v>
      </c>
      <c r="L25" s="5">
        <v>41000</v>
      </c>
      <c r="M25" s="5">
        <v>45474</v>
      </c>
      <c r="N25" s="5">
        <v>45838</v>
      </c>
      <c r="O25" s="4">
        <v>4579.47</v>
      </c>
      <c r="P25" s="4">
        <v>1</v>
      </c>
      <c r="Q25" s="4" t="s">
        <v>33</v>
      </c>
      <c r="R25" s="4" t="s">
        <v>34</v>
      </c>
      <c r="S25" s="4">
        <v>280164</v>
      </c>
      <c r="T25" s="4">
        <v>57811138405</v>
      </c>
      <c r="U25" s="4">
        <v>0</v>
      </c>
      <c r="V25" s="4">
        <v>0</v>
      </c>
      <c r="W25" s="4">
        <v>0</v>
      </c>
      <c r="X25" s="4">
        <v>7.56</v>
      </c>
      <c r="Y25" s="4">
        <v>4579.47</v>
      </c>
      <c r="Z25" s="4">
        <v>4571.91</v>
      </c>
      <c r="AA25" s="4" t="s">
        <v>35</v>
      </c>
    </row>
    <row r="26" spans="1:27" s="4" customFormat="1" x14ac:dyDescent="0.3">
      <c r="A26" s="4" t="s">
        <v>29</v>
      </c>
      <c r="B26" s="4">
        <v>2068046</v>
      </c>
      <c r="C26" s="4">
        <v>2068046</v>
      </c>
      <c r="D26" s="4" t="s">
        <v>92</v>
      </c>
      <c r="E26" s="4" t="s">
        <v>55</v>
      </c>
      <c r="F26" s="4" t="s">
        <v>93</v>
      </c>
      <c r="G26" s="5">
        <v>16868</v>
      </c>
      <c r="H26" s="4">
        <f>DAY(G26)</f>
        <v>7</v>
      </c>
      <c r="I26" s="4">
        <f>MONTH(G26)</f>
        <v>3</v>
      </c>
      <c r="J26" s="4">
        <f>YEAR(G26)</f>
        <v>1946</v>
      </c>
      <c r="K26" s="6">
        <v>4703076100044</v>
      </c>
      <c r="L26" s="5">
        <v>38961</v>
      </c>
      <c r="M26" s="5">
        <v>45474</v>
      </c>
      <c r="N26" s="5">
        <v>45838</v>
      </c>
      <c r="O26" s="4">
        <v>8587.7999999999993</v>
      </c>
      <c r="P26" s="4">
        <v>1</v>
      </c>
      <c r="Q26" s="4" t="s">
        <v>33</v>
      </c>
      <c r="R26" s="4" t="s">
        <v>34</v>
      </c>
      <c r="S26" s="4">
        <v>770005</v>
      </c>
      <c r="T26" s="4">
        <v>1140117098501</v>
      </c>
      <c r="U26" s="4">
        <v>0</v>
      </c>
      <c r="V26" s="4">
        <v>0</v>
      </c>
      <c r="W26" s="4">
        <v>0</v>
      </c>
      <c r="X26" s="4">
        <v>821.95</v>
      </c>
      <c r="Y26" s="4">
        <v>8587.7999999999993</v>
      </c>
      <c r="Z26" s="4">
        <v>7765.85</v>
      </c>
      <c r="AA26" s="4" t="s">
        <v>35</v>
      </c>
    </row>
    <row r="27" spans="1:27" s="4" customFormat="1" x14ac:dyDescent="0.3">
      <c r="A27" s="4" t="s">
        <v>29</v>
      </c>
      <c r="B27" s="4">
        <v>2208132</v>
      </c>
      <c r="C27" s="4">
        <v>2208132</v>
      </c>
      <c r="D27" s="4" t="s">
        <v>94</v>
      </c>
      <c r="E27" s="4" t="s">
        <v>46</v>
      </c>
      <c r="F27" s="4" t="s">
        <v>95</v>
      </c>
      <c r="G27" s="5">
        <v>21635</v>
      </c>
      <c r="H27" s="4">
        <f>DAY(G27)</f>
        <v>26</v>
      </c>
      <c r="I27" s="4">
        <f>MONTH(G27)</f>
        <v>3</v>
      </c>
      <c r="J27" s="4">
        <f>YEAR(G27)</f>
        <v>1959</v>
      </c>
      <c r="K27" s="6">
        <v>5903266100049</v>
      </c>
      <c r="L27" s="5">
        <v>43556</v>
      </c>
      <c r="M27" s="5">
        <v>45474</v>
      </c>
      <c r="N27" s="5">
        <v>45838</v>
      </c>
      <c r="O27" s="4">
        <v>1871.39</v>
      </c>
      <c r="P27" s="4">
        <v>1</v>
      </c>
      <c r="Q27" s="4" t="s">
        <v>33</v>
      </c>
      <c r="R27" s="4" t="s">
        <v>34</v>
      </c>
      <c r="S27" s="4">
        <v>770005</v>
      </c>
      <c r="T27" s="4">
        <v>77021640432</v>
      </c>
      <c r="U27" s="4">
        <v>0</v>
      </c>
      <c r="V27" s="4">
        <v>0</v>
      </c>
      <c r="W27" s="4">
        <v>0</v>
      </c>
      <c r="X27" s="4">
        <v>0</v>
      </c>
      <c r="Y27" s="4">
        <v>1871.39</v>
      </c>
      <c r="Z27" s="4">
        <v>1871.39</v>
      </c>
      <c r="AA27" s="4" t="s">
        <v>35</v>
      </c>
    </row>
    <row r="28" spans="1:27" s="4" customFormat="1" x14ac:dyDescent="0.3">
      <c r="A28" s="4" t="s">
        <v>29</v>
      </c>
      <c r="B28" s="4">
        <v>2222938</v>
      </c>
      <c r="C28" s="4">
        <v>2222938</v>
      </c>
      <c r="D28" s="4" t="s">
        <v>96</v>
      </c>
      <c r="E28" s="4" t="s">
        <v>97</v>
      </c>
      <c r="F28" s="4" t="s">
        <v>98</v>
      </c>
      <c r="G28" s="5">
        <v>22723</v>
      </c>
      <c r="H28" s="4">
        <f>DAY(G28)</f>
        <v>18</v>
      </c>
      <c r="I28" s="4">
        <f>MONTH(G28)</f>
        <v>3</v>
      </c>
      <c r="J28" s="4">
        <f>YEAR(G28)</f>
        <v>1962</v>
      </c>
      <c r="K28" s="6">
        <v>6203146100023</v>
      </c>
      <c r="L28" s="5">
        <v>44652</v>
      </c>
      <c r="M28" s="5">
        <v>45474</v>
      </c>
      <c r="N28" s="5">
        <v>45838</v>
      </c>
      <c r="O28" s="4">
        <v>13173.81</v>
      </c>
      <c r="P28" s="4">
        <v>1</v>
      </c>
      <c r="Q28" s="4" t="s">
        <v>33</v>
      </c>
      <c r="R28" s="4" t="s">
        <v>34</v>
      </c>
      <c r="S28" s="4">
        <v>660564</v>
      </c>
      <c r="T28" s="4">
        <v>9110000825886</v>
      </c>
      <c r="U28" s="4">
        <v>0</v>
      </c>
      <c r="V28" s="4">
        <v>0</v>
      </c>
      <c r="W28" s="4">
        <v>0</v>
      </c>
      <c r="X28" s="4">
        <v>2002.14</v>
      </c>
      <c r="Y28" s="4">
        <v>13173.81</v>
      </c>
      <c r="Z28" s="4">
        <v>11171.67</v>
      </c>
      <c r="AA28" s="4" t="s">
        <v>35</v>
      </c>
    </row>
    <row r="29" spans="1:27" s="4" customFormat="1" x14ac:dyDescent="0.3">
      <c r="A29" s="4" t="s">
        <v>29</v>
      </c>
      <c r="B29" s="4">
        <v>2231778</v>
      </c>
      <c r="C29" s="4">
        <v>2231778</v>
      </c>
      <c r="D29" s="4" t="s">
        <v>66</v>
      </c>
      <c r="E29" s="4" t="s">
        <v>72</v>
      </c>
      <c r="F29" s="4" t="s">
        <v>99</v>
      </c>
      <c r="G29" s="5">
        <v>20520</v>
      </c>
      <c r="H29" s="4">
        <f>DAY(G29)</f>
        <v>6</v>
      </c>
      <c r="I29" s="4">
        <f>MONTH(G29)</f>
        <v>3</v>
      </c>
      <c r="J29" s="4">
        <f>YEAR(G29)</f>
        <v>1956</v>
      </c>
      <c r="K29" s="6">
        <v>5603066100013</v>
      </c>
      <c r="L29" s="5">
        <v>42461</v>
      </c>
      <c r="M29" s="5">
        <v>45474</v>
      </c>
      <c r="N29" s="5">
        <v>45838</v>
      </c>
      <c r="O29" s="4">
        <v>1573.22</v>
      </c>
      <c r="P29" s="4">
        <v>1</v>
      </c>
      <c r="Q29" s="4" t="s">
        <v>33</v>
      </c>
      <c r="R29" s="4" t="s">
        <v>34</v>
      </c>
      <c r="S29" s="4">
        <v>770001</v>
      </c>
      <c r="T29" s="4">
        <v>77023075325</v>
      </c>
      <c r="U29" s="4">
        <v>20</v>
      </c>
      <c r="V29" s="4">
        <v>0</v>
      </c>
      <c r="W29" s="4">
        <v>0</v>
      </c>
      <c r="X29" s="4">
        <v>0</v>
      </c>
      <c r="Y29" s="4">
        <v>1573.22</v>
      </c>
      <c r="Z29" s="4">
        <v>1553.22</v>
      </c>
      <c r="AA29" s="4" t="s">
        <v>35</v>
      </c>
    </row>
    <row r="30" spans="1:27" s="4" customFormat="1" x14ac:dyDescent="0.3">
      <c r="A30" s="4" t="s">
        <v>29</v>
      </c>
      <c r="B30" s="4">
        <v>2238115</v>
      </c>
      <c r="C30" s="4">
        <v>2238115</v>
      </c>
      <c r="D30" s="4" t="s">
        <v>39</v>
      </c>
      <c r="E30" s="4" t="s">
        <v>100</v>
      </c>
      <c r="F30" s="4" t="s">
        <v>101</v>
      </c>
      <c r="G30" s="5">
        <v>22361</v>
      </c>
      <c r="H30" s="4">
        <f>DAY(G30)</f>
        <v>21</v>
      </c>
      <c r="I30" s="4">
        <f>MONTH(G30)</f>
        <v>3</v>
      </c>
      <c r="J30" s="4">
        <f>YEAR(G30)</f>
        <v>1961</v>
      </c>
      <c r="K30" s="6">
        <v>6103211100025</v>
      </c>
      <c r="L30" s="5">
        <v>38899</v>
      </c>
      <c r="M30" s="5">
        <v>45474</v>
      </c>
      <c r="N30" s="5">
        <v>45838</v>
      </c>
      <c r="O30" s="4">
        <v>1920.57</v>
      </c>
      <c r="P30" s="4">
        <v>1</v>
      </c>
      <c r="Q30" s="4" t="s">
        <v>33</v>
      </c>
      <c r="R30" s="4" t="s">
        <v>34</v>
      </c>
      <c r="S30" s="4">
        <v>280164</v>
      </c>
      <c r="T30" s="4">
        <v>62092025751</v>
      </c>
      <c r="U30" s="4">
        <v>0</v>
      </c>
      <c r="V30" s="4">
        <v>0</v>
      </c>
      <c r="W30" s="4">
        <v>0</v>
      </c>
      <c r="X30" s="4">
        <v>0</v>
      </c>
      <c r="Y30" s="4">
        <v>1920.57</v>
      </c>
      <c r="Z30" s="4">
        <v>1920.57</v>
      </c>
      <c r="AA30" s="4" t="s">
        <v>35</v>
      </c>
    </row>
    <row r="31" spans="1:27" s="4" customFormat="1" x14ac:dyDescent="0.3">
      <c r="A31" s="4" t="s">
        <v>29</v>
      </c>
      <c r="B31" s="4">
        <v>2312606</v>
      </c>
      <c r="C31" s="4">
        <v>2312606</v>
      </c>
      <c r="D31" s="4" t="s">
        <v>102</v>
      </c>
      <c r="E31" s="4" t="s">
        <v>103</v>
      </c>
      <c r="F31" s="4" t="s">
        <v>104</v>
      </c>
      <c r="G31" s="5">
        <v>22344</v>
      </c>
      <c r="H31" s="4">
        <f>DAY(G31)</f>
        <v>4</v>
      </c>
      <c r="I31" s="4">
        <f>MONTH(G31)</f>
        <v>3</v>
      </c>
      <c r="J31" s="4">
        <f>YEAR(G31)</f>
        <v>1961</v>
      </c>
      <c r="K31" s="6">
        <v>6103046100109</v>
      </c>
      <c r="L31" s="5">
        <v>40756</v>
      </c>
      <c r="M31" s="5">
        <v>45474</v>
      </c>
      <c r="N31" s="5">
        <v>45838</v>
      </c>
      <c r="O31" s="4">
        <v>1851.65</v>
      </c>
      <c r="P31" s="4">
        <v>1</v>
      </c>
      <c r="Q31" s="4" t="s">
        <v>33</v>
      </c>
      <c r="R31" s="4" t="s">
        <v>34</v>
      </c>
      <c r="S31" s="4">
        <v>90001</v>
      </c>
      <c r="T31" s="4">
        <v>51000033689</v>
      </c>
      <c r="U31" s="4">
        <v>0</v>
      </c>
      <c r="V31" s="4">
        <v>0</v>
      </c>
      <c r="W31" s="4">
        <v>0</v>
      </c>
      <c r="X31" s="4">
        <v>0</v>
      </c>
      <c r="Y31" s="4">
        <v>1851.65</v>
      </c>
      <c r="Z31" s="4">
        <v>1851.65</v>
      </c>
      <c r="AA31" s="4" t="s">
        <v>35</v>
      </c>
    </row>
    <row r="32" spans="1:27" s="4" customFormat="1" x14ac:dyDescent="0.3">
      <c r="A32" s="4" t="s">
        <v>29</v>
      </c>
      <c r="B32" s="4">
        <v>2343202</v>
      </c>
      <c r="C32" s="4">
        <v>2343202</v>
      </c>
      <c r="D32" s="4" t="s">
        <v>105</v>
      </c>
      <c r="E32" s="4" t="s">
        <v>103</v>
      </c>
      <c r="F32" s="4" t="s">
        <v>106</v>
      </c>
      <c r="G32" s="5">
        <v>23090</v>
      </c>
      <c r="H32" s="4">
        <f>DAY(G32)</f>
        <v>20</v>
      </c>
      <c r="I32" s="4">
        <f>MONTH(G32)</f>
        <v>3</v>
      </c>
      <c r="J32" s="4">
        <f>YEAR(G32)</f>
        <v>1963</v>
      </c>
      <c r="K32" s="6">
        <v>6305256100105</v>
      </c>
      <c r="L32" s="5">
        <v>45017</v>
      </c>
      <c r="M32" s="5">
        <v>45474</v>
      </c>
      <c r="N32" s="5">
        <v>45838</v>
      </c>
      <c r="O32" s="4">
        <v>7043.41</v>
      </c>
      <c r="P32" s="4">
        <v>1</v>
      </c>
      <c r="Q32" s="4" t="s">
        <v>33</v>
      </c>
      <c r="R32" s="4" t="s">
        <v>34</v>
      </c>
      <c r="S32" s="4">
        <v>90001</v>
      </c>
      <c r="T32" s="4">
        <v>51000917544</v>
      </c>
      <c r="U32" s="4">
        <v>0</v>
      </c>
      <c r="V32" s="4">
        <v>0</v>
      </c>
      <c r="W32" s="4">
        <v>0</v>
      </c>
      <c r="X32" s="4">
        <v>500.34</v>
      </c>
      <c r="Y32" s="4">
        <v>7043.41</v>
      </c>
      <c r="Z32" s="4">
        <v>6543.07</v>
      </c>
      <c r="AA32" s="4" t="s">
        <v>35</v>
      </c>
    </row>
    <row r="33" spans="1:27" s="4" customFormat="1" x14ac:dyDescent="0.3">
      <c r="A33" s="4" t="s">
        <v>29</v>
      </c>
      <c r="B33" s="4">
        <v>2391731</v>
      </c>
      <c r="C33" s="4">
        <v>2391731</v>
      </c>
      <c r="D33" s="4" t="s">
        <v>86</v>
      </c>
      <c r="E33" s="4" t="s">
        <v>40</v>
      </c>
      <c r="F33" s="4" t="s">
        <v>77</v>
      </c>
      <c r="G33" s="5">
        <v>26001</v>
      </c>
      <c r="H33" s="4">
        <f>DAY(G33)</f>
        <v>9</v>
      </c>
      <c r="I33" s="4">
        <f>MONTH(G33)</f>
        <v>3</v>
      </c>
      <c r="J33" s="4">
        <f>YEAR(G33)</f>
        <v>1971</v>
      </c>
      <c r="K33" s="6">
        <v>7103096100065</v>
      </c>
      <c r="L33" s="5">
        <v>42461</v>
      </c>
      <c r="M33" s="5">
        <v>45474</v>
      </c>
      <c r="N33" s="5">
        <v>45838</v>
      </c>
      <c r="O33" s="4">
        <v>1560.63</v>
      </c>
      <c r="P33" s="4">
        <v>1</v>
      </c>
      <c r="Q33" s="4" t="s">
        <v>33</v>
      </c>
      <c r="R33" s="4" t="s">
        <v>34</v>
      </c>
      <c r="S33" s="4">
        <v>661164</v>
      </c>
      <c r="T33" s="4">
        <v>9110000459529</v>
      </c>
      <c r="U33" s="4">
        <v>0</v>
      </c>
      <c r="V33" s="4">
        <v>0</v>
      </c>
      <c r="W33" s="4">
        <v>0</v>
      </c>
      <c r="X33" s="4">
        <v>0</v>
      </c>
      <c r="Y33" s="4">
        <v>1560.63</v>
      </c>
      <c r="Z33" s="4">
        <v>1560.63</v>
      </c>
      <c r="AA33" s="4" t="s">
        <v>35</v>
      </c>
    </row>
    <row r="34" spans="1:27" s="4" customFormat="1" x14ac:dyDescent="0.3">
      <c r="A34" s="4" t="s">
        <v>29</v>
      </c>
      <c r="B34" s="4">
        <v>25270</v>
      </c>
      <c r="C34" s="4">
        <v>25270</v>
      </c>
      <c r="D34" s="4" t="s">
        <v>107</v>
      </c>
      <c r="E34" s="4" t="s">
        <v>49</v>
      </c>
      <c r="F34" s="4" t="s">
        <v>108</v>
      </c>
      <c r="G34" s="5">
        <v>16873</v>
      </c>
      <c r="H34" s="4">
        <f>DAY(G34)</f>
        <v>12</v>
      </c>
      <c r="I34" s="4">
        <f>MONTH(G34)</f>
        <v>3</v>
      </c>
      <c r="J34" s="4">
        <f>YEAR(G34)</f>
        <v>1946</v>
      </c>
      <c r="K34" s="6">
        <v>4603126100111</v>
      </c>
      <c r="L34" s="5">
        <v>38443</v>
      </c>
      <c r="M34" s="5">
        <v>45474</v>
      </c>
      <c r="N34" s="5">
        <v>45838</v>
      </c>
      <c r="O34" s="4">
        <v>4162.4799999999996</v>
      </c>
      <c r="P34" s="4">
        <v>1</v>
      </c>
      <c r="Q34" s="4" t="s">
        <v>33</v>
      </c>
      <c r="R34" s="4" t="s">
        <v>34</v>
      </c>
      <c r="S34" s="4">
        <v>770002</v>
      </c>
      <c r="T34" s="4">
        <v>2040114360601</v>
      </c>
      <c r="U34" s="4">
        <v>650</v>
      </c>
      <c r="V34" s="4">
        <v>0</v>
      </c>
      <c r="W34" s="4">
        <v>0</v>
      </c>
      <c r="X34" s="4">
        <v>0</v>
      </c>
      <c r="Y34" s="4">
        <v>4162.4799999999996</v>
      </c>
      <c r="Z34" s="4">
        <v>3512.48</v>
      </c>
      <c r="AA34" s="4" t="s">
        <v>35</v>
      </c>
    </row>
    <row r="35" spans="1:27" s="4" customFormat="1" x14ac:dyDescent="0.3">
      <c r="A35" s="4" t="s">
        <v>29</v>
      </c>
      <c r="B35" s="4">
        <v>26053</v>
      </c>
      <c r="C35" s="4">
        <v>26053</v>
      </c>
      <c r="D35" s="4" t="s">
        <v>109</v>
      </c>
      <c r="E35" s="4" t="s">
        <v>49</v>
      </c>
      <c r="F35" s="4" t="s">
        <v>110</v>
      </c>
      <c r="G35" s="5">
        <v>14698</v>
      </c>
      <c r="H35" s="4">
        <f>DAY(G35)</f>
        <v>28</v>
      </c>
      <c r="I35" s="4">
        <f>MONTH(G35)</f>
        <v>3</v>
      </c>
      <c r="J35" s="4">
        <f>YEAR(G35)</f>
        <v>1940</v>
      </c>
      <c r="K35" s="6">
        <v>4009271100023</v>
      </c>
      <c r="L35" s="5">
        <v>38443</v>
      </c>
      <c r="M35" s="5">
        <v>45474</v>
      </c>
      <c r="N35" s="5">
        <v>45838</v>
      </c>
      <c r="O35" s="4">
        <v>1920.57</v>
      </c>
      <c r="P35" s="4">
        <v>1</v>
      </c>
      <c r="Q35" s="4" t="s">
        <v>33</v>
      </c>
      <c r="R35" s="4" t="s">
        <v>34</v>
      </c>
      <c r="S35" s="4">
        <v>770004</v>
      </c>
      <c r="T35" s="4">
        <v>4040118163301</v>
      </c>
      <c r="U35" s="4">
        <v>0</v>
      </c>
      <c r="V35" s="4">
        <v>0</v>
      </c>
      <c r="W35" s="4">
        <v>0</v>
      </c>
      <c r="X35" s="4">
        <v>0</v>
      </c>
      <c r="Y35" s="4">
        <v>1920.57</v>
      </c>
      <c r="Z35" s="4">
        <v>1920.57</v>
      </c>
      <c r="AA35" s="4" t="s">
        <v>35</v>
      </c>
    </row>
    <row r="36" spans="1:27" s="4" customFormat="1" x14ac:dyDescent="0.3">
      <c r="A36" s="4" t="s">
        <v>29</v>
      </c>
      <c r="B36" s="4">
        <v>300054714</v>
      </c>
      <c r="C36" s="4">
        <v>300054714</v>
      </c>
      <c r="D36" s="4" t="s">
        <v>111</v>
      </c>
      <c r="E36" s="4" t="s">
        <v>59</v>
      </c>
      <c r="F36" s="4" t="s">
        <v>112</v>
      </c>
      <c r="G36" s="5">
        <v>28917</v>
      </c>
      <c r="H36" s="4">
        <f>DAY(G36)</f>
        <v>3</v>
      </c>
      <c r="I36" s="4">
        <f>MONTH(G36)</f>
        <v>3</v>
      </c>
      <c r="J36" s="4">
        <f>YEAR(G36)</f>
        <v>1979</v>
      </c>
      <c r="K36" s="6">
        <v>7903031100124</v>
      </c>
      <c r="L36" s="5">
        <v>44866</v>
      </c>
      <c r="M36" s="5">
        <v>45474</v>
      </c>
      <c r="N36" s="5">
        <v>45838</v>
      </c>
      <c r="O36" s="4">
        <v>1887.57</v>
      </c>
      <c r="P36" s="4">
        <v>1</v>
      </c>
      <c r="Q36" s="4" t="s">
        <v>33</v>
      </c>
      <c r="R36" s="4" t="s">
        <v>34</v>
      </c>
      <c r="S36" s="4">
        <v>280164</v>
      </c>
      <c r="T36" s="4">
        <v>62760603102</v>
      </c>
      <c r="U36" s="4">
        <v>0</v>
      </c>
      <c r="V36" s="4">
        <v>0</v>
      </c>
      <c r="W36" s="4">
        <v>0</v>
      </c>
      <c r="X36" s="4">
        <v>0</v>
      </c>
      <c r="Y36" s="4">
        <v>1887.57</v>
      </c>
      <c r="Z36" s="4">
        <v>1887.57</v>
      </c>
      <c r="AA36" s="4" t="s">
        <v>35</v>
      </c>
    </row>
    <row r="37" spans="1:27" s="4" customFormat="1" x14ac:dyDescent="0.3">
      <c r="A37" s="4" t="s">
        <v>29</v>
      </c>
      <c r="B37" s="4">
        <v>301992</v>
      </c>
      <c r="C37" s="4">
        <v>301992</v>
      </c>
      <c r="D37" s="4" t="s">
        <v>66</v>
      </c>
      <c r="E37" s="4" t="s">
        <v>72</v>
      </c>
      <c r="F37" s="4" t="s">
        <v>113</v>
      </c>
      <c r="G37" s="5">
        <v>18325</v>
      </c>
      <c r="H37" s="4">
        <f>DAY(G37)</f>
        <v>3</v>
      </c>
      <c r="I37" s="4">
        <f>MONTH(G37)</f>
        <v>3</v>
      </c>
      <c r="J37" s="4">
        <f>YEAR(G37)</f>
        <v>1950</v>
      </c>
      <c r="K37" s="6">
        <v>5003031100240</v>
      </c>
      <c r="L37" s="5">
        <v>40269</v>
      </c>
      <c r="M37" s="5">
        <v>45474</v>
      </c>
      <c r="N37" s="5">
        <v>45838</v>
      </c>
      <c r="O37" s="4">
        <v>4453.18</v>
      </c>
      <c r="P37" s="4">
        <v>1</v>
      </c>
      <c r="Q37" s="4" t="s">
        <v>33</v>
      </c>
      <c r="R37" s="4" t="s">
        <v>34</v>
      </c>
      <c r="S37" s="4">
        <v>770001</v>
      </c>
      <c r="T37" s="4">
        <v>2040110375901</v>
      </c>
      <c r="U37" s="4">
        <v>0</v>
      </c>
      <c r="V37" s="4">
        <v>0</v>
      </c>
      <c r="W37" s="4">
        <v>0</v>
      </c>
      <c r="X37" s="4">
        <v>0</v>
      </c>
      <c r="Y37" s="4">
        <v>4453.18</v>
      </c>
      <c r="Z37" s="4">
        <v>4453.18</v>
      </c>
      <c r="AA37" s="4" t="s">
        <v>35</v>
      </c>
    </row>
    <row r="38" spans="1:27" s="4" customFormat="1" x14ac:dyDescent="0.3">
      <c r="A38" s="4" t="s">
        <v>29</v>
      </c>
      <c r="B38" s="4">
        <v>3118216</v>
      </c>
      <c r="C38" s="4">
        <v>3118216</v>
      </c>
      <c r="D38" s="4" t="s">
        <v>114</v>
      </c>
      <c r="E38" s="4" t="s">
        <v>79</v>
      </c>
      <c r="F38" s="4" t="s">
        <v>115</v>
      </c>
      <c r="G38" s="5">
        <v>20151</v>
      </c>
      <c r="H38" s="4">
        <f>DAY(G38)</f>
        <v>3</v>
      </c>
      <c r="I38" s="4">
        <f>MONTH(G38)</f>
        <v>3</v>
      </c>
      <c r="J38" s="4">
        <f>YEAR(G38)</f>
        <v>1955</v>
      </c>
      <c r="K38" s="6">
        <v>5503031100058</v>
      </c>
      <c r="L38" s="5">
        <v>39022</v>
      </c>
      <c r="M38" s="5">
        <v>45474</v>
      </c>
      <c r="N38" s="5">
        <v>45838</v>
      </c>
      <c r="O38" s="4">
        <v>1920.57</v>
      </c>
      <c r="P38" s="4">
        <v>1</v>
      </c>
      <c r="Q38" s="4" t="s">
        <v>33</v>
      </c>
      <c r="R38" s="4" t="s">
        <v>34</v>
      </c>
      <c r="S38" s="4">
        <v>770001</v>
      </c>
      <c r="T38" s="4">
        <v>77400412998</v>
      </c>
      <c r="U38" s="4">
        <v>0</v>
      </c>
      <c r="V38" s="4">
        <v>0</v>
      </c>
      <c r="W38" s="4">
        <v>0</v>
      </c>
      <c r="X38" s="4">
        <v>0</v>
      </c>
      <c r="Y38" s="4">
        <v>1920.57</v>
      </c>
      <c r="Z38" s="4">
        <v>1920.57</v>
      </c>
      <c r="AA38" s="4" t="s">
        <v>35</v>
      </c>
    </row>
    <row r="39" spans="1:27" s="4" customFormat="1" x14ac:dyDescent="0.3">
      <c r="A39" s="4" t="s">
        <v>29</v>
      </c>
      <c r="B39" s="4">
        <v>3148134</v>
      </c>
      <c r="C39" s="4">
        <v>3148134</v>
      </c>
      <c r="D39" s="4" t="s">
        <v>116</v>
      </c>
      <c r="E39" s="4" t="s">
        <v>31</v>
      </c>
      <c r="F39" s="4" t="s">
        <v>117</v>
      </c>
      <c r="G39" s="5">
        <v>21251</v>
      </c>
      <c r="H39" s="4">
        <f>DAY(G39)</f>
        <v>7</v>
      </c>
      <c r="I39" s="4">
        <f>MONTH(G39)</f>
        <v>3</v>
      </c>
      <c r="J39" s="4">
        <f>YEAR(G39)</f>
        <v>1958</v>
      </c>
      <c r="K39" s="6">
        <v>5802046100248</v>
      </c>
      <c r="L39" s="5">
        <v>43191</v>
      </c>
      <c r="M39" s="5">
        <v>45474</v>
      </c>
      <c r="N39" s="5">
        <v>45838</v>
      </c>
      <c r="O39" s="4">
        <v>5494.7</v>
      </c>
      <c r="P39" s="4">
        <v>1</v>
      </c>
      <c r="Q39" s="4" t="s">
        <v>33</v>
      </c>
      <c r="R39" s="4" t="s">
        <v>34</v>
      </c>
      <c r="S39" s="4">
        <v>360164</v>
      </c>
      <c r="T39" s="4">
        <v>20000031257</v>
      </c>
      <c r="U39" s="4">
        <v>0</v>
      </c>
      <c r="V39" s="4">
        <v>0</v>
      </c>
      <c r="W39" s="4">
        <v>0</v>
      </c>
      <c r="X39" s="4">
        <v>190.6</v>
      </c>
      <c r="Y39" s="4">
        <v>5494.7</v>
      </c>
      <c r="Z39" s="4">
        <v>5304.1</v>
      </c>
      <c r="AA39" s="4" t="s">
        <v>35</v>
      </c>
    </row>
    <row r="40" spans="1:27" s="4" customFormat="1" x14ac:dyDescent="0.3">
      <c r="A40" s="4" t="s">
        <v>29</v>
      </c>
      <c r="B40" s="4">
        <v>3193488</v>
      </c>
      <c r="C40" s="4">
        <v>3193488</v>
      </c>
      <c r="D40" s="4" t="s">
        <v>118</v>
      </c>
      <c r="E40" s="4" t="s">
        <v>31</v>
      </c>
      <c r="F40" s="4" t="s">
        <v>119</v>
      </c>
      <c r="G40" s="5">
        <v>21271</v>
      </c>
      <c r="H40" s="4">
        <f>DAY(G40)</f>
        <v>27</v>
      </c>
      <c r="I40" s="4">
        <f>MONTH(G40)</f>
        <v>3</v>
      </c>
      <c r="J40" s="4">
        <f>YEAR(G40)</f>
        <v>1958</v>
      </c>
      <c r="K40" s="6">
        <v>5803271100010</v>
      </c>
      <c r="L40" s="5">
        <v>43191</v>
      </c>
      <c r="M40" s="5">
        <v>45474</v>
      </c>
      <c r="N40" s="5">
        <v>45838</v>
      </c>
      <c r="O40" s="4">
        <v>15268.27</v>
      </c>
      <c r="P40" s="4">
        <v>1</v>
      </c>
      <c r="Q40" s="4" t="s">
        <v>33</v>
      </c>
      <c r="R40" s="4" t="s">
        <v>34</v>
      </c>
      <c r="S40" s="4">
        <v>663164</v>
      </c>
      <c r="T40" s="4">
        <v>9110003625861</v>
      </c>
      <c r="U40" s="4">
        <v>0</v>
      </c>
      <c r="V40" s="4">
        <v>0</v>
      </c>
      <c r="W40" s="4">
        <v>0</v>
      </c>
      <c r="X40" s="4">
        <v>2630.48</v>
      </c>
      <c r="Y40" s="4">
        <v>15268.27</v>
      </c>
      <c r="Z40" s="4">
        <v>12637.79</v>
      </c>
      <c r="AA40" s="4" t="s">
        <v>35</v>
      </c>
    </row>
    <row r="41" spans="1:27" s="4" customFormat="1" x14ac:dyDescent="0.3">
      <c r="A41" s="4" t="s">
        <v>29</v>
      </c>
      <c r="B41" s="4">
        <v>3196388</v>
      </c>
      <c r="C41" s="4">
        <v>3196388</v>
      </c>
      <c r="D41" s="4" t="s">
        <v>98</v>
      </c>
      <c r="E41" s="4" t="s">
        <v>103</v>
      </c>
      <c r="F41" s="4" t="s">
        <v>50</v>
      </c>
      <c r="G41" s="5">
        <v>19786</v>
      </c>
      <c r="H41" s="4">
        <f>DAY(G41)</f>
        <v>3</v>
      </c>
      <c r="I41" s="4">
        <f>MONTH(G41)</f>
        <v>3</v>
      </c>
      <c r="J41" s="4">
        <f>YEAR(G41)</f>
        <v>1954</v>
      </c>
      <c r="K41" s="6">
        <v>5403036100023</v>
      </c>
      <c r="L41" s="5">
        <v>41730</v>
      </c>
      <c r="M41" s="5">
        <v>45474</v>
      </c>
      <c r="N41" s="5">
        <v>45838</v>
      </c>
      <c r="O41" s="4">
        <v>3945.94</v>
      </c>
      <c r="P41" s="4">
        <v>1</v>
      </c>
      <c r="Q41" s="4" t="s">
        <v>33</v>
      </c>
      <c r="R41" s="4" t="s">
        <v>34</v>
      </c>
      <c r="S41" s="4">
        <v>360164</v>
      </c>
      <c r="T41" s="7" t="s">
        <v>120</v>
      </c>
      <c r="U41" s="4">
        <v>0</v>
      </c>
      <c r="V41" s="4">
        <v>0</v>
      </c>
      <c r="W41" s="4">
        <v>0</v>
      </c>
      <c r="X41" s="4">
        <v>0</v>
      </c>
      <c r="Y41" s="4">
        <v>3945.94</v>
      </c>
      <c r="Z41" s="4">
        <v>3945.94</v>
      </c>
      <c r="AA41" s="4" t="s">
        <v>35</v>
      </c>
    </row>
    <row r="42" spans="1:27" s="4" customFormat="1" x14ac:dyDescent="0.3">
      <c r="A42" s="4" t="s">
        <v>29</v>
      </c>
      <c r="B42" s="4">
        <v>3202469</v>
      </c>
      <c r="C42" s="4">
        <v>3202469</v>
      </c>
      <c r="D42" s="4" t="s">
        <v>66</v>
      </c>
      <c r="E42" s="4" t="s">
        <v>72</v>
      </c>
      <c r="F42" s="4" t="s">
        <v>121</v>
      </c>
      <c r="G42" s="5">
        <v>19072</v>
      </c>
      <c r="H42" s="4">
        <f>DAY(G42)</f>
        <v>19</v>
      </c>
      <c r="I42" s="4">
        <f>MONTH(G42)</f>
        <v>3</v>
      </c>
      <c r="J42" s="4">
        <f>YEAR(G42)</f>
        <v>1952</v>
      </c>
      <c r="K42" s="6">
        <v>5203191100069</v>
      </c>
      <c r="L42" s="5">
        <v>41000</v>
      </c>
      <c r="M42" s="5">
        <v>45474</v>
      </c>
      <c r="N42" s="5">
        <v>45838</v>
      </c>
      <c r="O42" s="4">
        <v>1851.65</v>
      </c>
      <c r="P42" s="4">
        <v>1</v>
      </c>
      <c r="Q42" s="4" t="s">
        <v>33</v>
      </c>
      <c r="R42" s="4" t="s">
        <v>34</v>
      </c>
      <c r="S42" s="4">
        <v>770002</v>
      </c>
      <c r="T42" s="4">
        <v>2040110810201</v>
      </c>
      <c r="U42" s="4">
        <v>0</v>
      </c>
      <c r="V42" s="4">
        <v>0</v>
      </c>
      <c r="W42" s="4">
        <v>0</v>
      </c>
      <c r="X42" s="4">
        <v>0</v>
      </c>
      <c r="Y42" s="4">
        <v>1851.65</v>
      </c>
      <c r="Z42" s="4">
        <v>1851.65</v>
      </c>
      <c r="AA42" s="4" t="s">
        <v>35</v>
      </c>
    </row>
    <row r="43" spans="1:27" s="4" customFormat="1" x14ac:dyDescent="0.3">
      <c r="A43" s="4" t="s">
        <v>29</v>
      </c>
      <c r="B43" s="4">
        <v>3248007</v>
      </c>
      <c r="C43" s="4">
        <v>3248007</v>
      </c>
      <c r="D43" s="4" t="s">
        <v>118</v>
      </c>
      <c r="E43" s="4" t="s">
        <v>37</v>
      </c>
      <c r="F43" s="4" t="s">
        <v>122</v>
      </c>
      <c r="G43" s="5">
        <v>20542</v>
      </c>
      <c r="H43" s="4">
        <f>DAY(G43)</f>
        <v>28</v>
      </c>
      <c r="I43" s="4">
        <f>MONTH(G43)</f>
        <v>3</v>
      </c>
      <c r="J43" s="4">
        <f>YEAR(G43)</f>
        <v>1956</v>
      </c>
      <c r="K43" s="6">
        <v>5603281100012</v>
      </c>
      <c r="L43" s="5">
        <v>42461</v>
      </c>
      <c r="M43" s="5">
        <v>45474</v>
      </c>
      <c r="N43" s="5">
        <v>45838</v>
      </c>
      <c r="O43" s="4">
        <v>13858.75</v>
      </c>
      <c r="P43" s="4">
        <v>1</v>
      </c>
      <c r="Q43" s="4" t="s">
        <v>33</v>
      </c>
      <c r="R43" s="4" t="s">
        <v>34</v>
      </c>
      <c r="S43" s="4">
        <v>770001</v>
      </c>
      <c r="T43" s="4">
        <v>77013041827</v>
      </c>
      <c r="U43" s="4">
        <v>0</v>
      </c>
      <c r="V43" s="4">
        <v>0</v>
      </c>
      <c r="W43" s="4">
        <v>0</v>
      </c>
      <c r="X43" s="4">
        <v>2207.62</v>
      </c>
      <c r="Y43" s="4">
        <v>13858.75</v>
      </c>
      <c r="Z43" s="4">
        <v>11651.13</v>
      </c>
      <c r="AA43" s="4" t="s">
        <v>35</v>
      </c>
    </row>
    <row r="44" spans="1:27" s="4" customFormat="1" x14ac:dyDescent="0.3">
      <c r="A44" s="4" t="s">
        <v>29</v>
      </c>
      <c r="B44" s="4">
        <v>3248722</v>
      </c>
      <c r="C44" s="4">
        <v>3248722</v>
      </c>
      <c r="D44" s="4" t="s">
        <v>123</v>
      </c>
      <c r="E44" s="4" t="s">
        <v>69</v>
      </c>
      <c r="F44" s="4" t="s">
        <v>124</v>
      </c>
      <c r="G44" s="5">
        <v>21993</v>
      </c>
      <c r="H44" s="4">
        <f>DAY(G44)</f>
        <v>18</v>
      </c>
      <c r="I44" s="4">
        <f>MONTH(G44)</f>
        <v>3</v>
      </c>
      <c r="J44" s="4">
        <f>YEAR(G44)</f>
        <v>1960</v>
      </c>
      <c r="K44" s="6">
        <v>6003181100049</v>
      </c>
      <c r="L44" s="5">
        <v>41730</v>
      </c>
      <c r="M44" s="5">
        <v>45474</v>
      </c>
      <c r="N44" s="5">
        <v>45838</v>
      </c>
      <c r="O44" s="4">
        <v>3501.72</v>
      </c>
      <c r="P44" s="4">
        <v>1</v>
      </c>
      <c r="Q44" s="4" t="s">
        <v>33</v>
      </c>
      <c r="R44" s="4" t="s">
        <v>34</v>
      </c>
      <c r="S44" s="4">
        <v>360164</v>
      </c>
      <c r="T44" s="7" t="s">
        <v>125</v>
      </c>
      <c r="U44" s="4">
        <v>0</v>
      </c>
      <c r="V44" s="4">
        <v>0</v>
      </c>
      <c r="W44" s="4">
        <v>0</v>
      </c>
      <c r="X44" s="4">
        <v>0</v>
      </c>
      <c r="Y44" s="4">
        <v>3501.72</v>
      </c>
      <c r="Z44" s="4">
        <v>3501.72</v>
      </c>
      <c r="AA44" s="4" t="s">
        <v>35</v>
      </c>
    </row>
    <row r="45" spans="1:27" s="4" customFormat="1" x14ac:dyDescent="0.3">
      <c r="A45" s="4" t="s">
        <v>29</v>
      </c>
      <c r="B45" s="4">
        <v>3290815</v>
      </c>
      <c r="C45" s="4">
        <v>3290815</v>
      </c>
      <c r="D45" s="4" t="s">
        <v>30</v>
      </c>
      <c r="E45" s="4" t="s">
        <v>69</v>
      </c>
      <c r="F45" s="4" t="s">
        <v>126</v>
      </c>
      <c r="G45" s="5">
        <v>23079</v>
      </c>
      <c r="H45" s="4">
        <f>DAY(G45)</f>
        <v>9</v>
      </c>
      <c r="I45" s="4">
        <f>MONTH(G45)</f>
        <v>3</v>
      </c>
      <c r="J45" s="4">
        <f>YEAR(G45)</f>
        <v>1963</v>
      </c>
      <c r="K45" s="6">
        <v>6403091100032</v>
      </c>
      <c r="L45" s="5">
        <v>45017</v>
      </c>
      <c r="M45" s="5">
        <v>45474</v>
      </c>
      <c r="N45" s="5">
        <v>45838</v>
      </c>
      <c r="O45" s="4">
        <v>5527.27</v>
      </c>
      <c r="P45" s="4">
        <v>1</v>
      </c>
      <c r="Q45" s="4" t="s">
        <v>33</v>
      </c>
      <c r="R45" s="4" t="s">
        <v>34</v>
      </c>
      <c r="S45" s="4">
        <v>280164</v>
      </c>
      <c r="T45" s="4">
        <v>62552734991</v>
      </c>
      <c r="U45" s="4">
        <v>0</v>
      </c>
      <c r="V45" s="4">
        <v>0</v>
      </c>
      <c r="W45" s="4">
        <v>0</v>
      </c>
      <c r="X45" s="4">
        <v>197.12</v>
      </c>
      <c r="Y45" s="4">
        <v>5527.27</v>
      </c>
      <c r="Z45" s="4">
        <v>5330.15</v>
      </c>
      <c r="AA45" s="4" t="s">
        <v>35</v>
      </c>
    </row>
    <row r="46" spans="1:27" s="4" customFormat="1" x14ac:dyDescent="0.3">
      <c r="A46" s="4" t="s">
        <v>29</v>
      </c>
      <c r="B46" s="4">
        <v>3294819</v>
      </c>
      <c r="C46" s="4">
        <v>3294819</v>
      </c>
      <c r="D46" s="4" t="s">
        <v>127</v>
      </c>
      <c r="E46" s="4" t="s">
        <v>128</v>
      </c>
      <c r="F46" s="4" t="s">
        <v>129</v>
      </c>
      <c r="G46" s="5">
        <v>19787</v>
      </c>
      <c r="H46" s="4">
        <f>DAY(G46)</f>
        <v>4</v>
      </c>
      <c r="I46" s="4">
        <f>MONTH(G46)</f>
        <v>3</v>
      </c>
      <c r="J46" s="4">
        <f>YEAR(G46)</f>
        <v>1954</v>
      </c>
      <c r="K46" s="6">
        <v>5307151100074</v>
      </c>
      <c r="L46" s="5">
        <v>41730</v>
      </c>
      <c r="M46" s="5">
        <v>45474</v>
      </c>
      <c r="N46" s="5">
        <v>45838</v>
      </c>
      <c r="O46" s="4">
        <v>1655.86</v>
      </c>
      <c r="P46" s="4">
        <v>1</v>
      </c>
      <c r="Q46" s="4" t="s">
        <v>33</v>
      </c>
      <c r="R46" s="4" t="s">
        <v>34</v>
      </c>
      <c r="S46" s="4">
        <v>770001</v>
      </c>
      <c r="T46" s="4">
        <v>77012323810</v>
      </c>
      <c r="U46" s="4">
        <v>0</v>
      </c>
      <c r="V46" s="4">
        <v>0</v>
      </c>
      <c r="W46" s="4">
        <v>0</v>
      </c>
      <c r="X46" s="4">
        <v>0</v>
      </c>
      <c r="Y46" s="4">
        <v>1655.86</v>
      </c>
      <c r="Z46" s="4">
        <v>1655.86</v>
      </c>
      <c r="AA46" s="4" t="s">
        <v>35</v>
      </c>
    </row>
    <row r="47" spans="1:27" s="4" customFormat="1" x14ac:dyDescent="0.3">
      <c r="A47" s="4" t="s">
        <v>29</v>
      </c>
      <c r="B47" s="4">
        <v>3304561</v>
      </c>
      <c r="C47" s="4">
        <v>3304561</v>
      </c>
      <c r="D47" s="4" t="s">
        <v>130</v>
      </c>
      <c r="E47" s="4" t="s">
        <v>131</v>
      </c>
      <c r="F47" s="4" t="s">
        <v>132</v>
      </c>
      <c r="G47" s="5">
        <v>22729</v>
      </c>
      <c r="H47" s="4">
        <f>DAY(G47)</f>
        <v>24</v>
      </c>
      <c r="I47" s="4">
        <f>MONTH(G47)</f>
        <v>3</v>
      </c>
      <c r="J47" s="4">
        <f>YEAR(G47)</f>
        <v>1962</v>
      </c>
      <c r="K47" s="6">
        <v>6103156100030</v>
      </c>
      <c r="L47" s="5">
        <v>44652</v>
      </c>
      <c r="M47" s="5">
        <v>45474</v>
      </c>
      <c r="N47" s="5">
        <v>45838</v>
      </c>
      <c r="O47" s="4">
        <v>5849.31</v>
      </c>
      <c r="P47" s="4">
        <v>1</v>
      </c>
      <c r="Q47" s="4" t="s">
        <v>33</v>
      </c>
      <c r="R47" s="4" t="s">
        <v>34</v>
      </c>
      <c r="S47" s="4">
        <v>663164</v>
      </c>
      <c r="T47" s="4">
        <v>9110000017313</v>
      </c>
      <c r="U47" s="4">
        <v>0</v>
      </c>
      <c r="V47" s="4">
        <v>0</v>
      </c>
      <c r="W47" s="4">
        <v>0</v>
      </c>
      <c r="X47" s="4">
        <v>261.52</v>
      </c>
      <c r="Y47" s="4">
        <v>5849.31</v>
      </c>
      <c r="Z47" s="4">
        <v>5587.79</v>
      </c>
      <c r="AA47" s="4" t="s">
        <v>35</v>
      </c>
    </row>
    <row r="48" spans="1:27" s="4" customFormat="1" x14ac:dyDescent="0.3">
      <c r="A48" s="4" t="s">
        <v>29</v>
      </c>
      <c r="B48" s="4">
        <v>3308565</v>
      </c>
      <c r="C48" s="4">
        <v>3308565</v>
      </c>
      <c r="D48" s="4" t="s">
        <v>66</v>
      </c>
      <c r="E48" s="4" t="s">
        <v>49</v>
      </c>
      <c r="F48" s="4" t="s">
        <v>133</v>
      </c>
      <c r="G48" s="5">
        <v>22731</v>
      </c>
      <c r="H48" s="4">
        <f>DAY(G48)</f>
        <v>26</v>
      </c>
      <c r="I48" s="4">
        <f>MONTH(G48)</f>
        <v>3</v>
      </c>
      <c r="J48" s="4">
        <f>YEAR(G48)</f>
        <v>1962</v>
      </c>
      <c r="K48" s="6">
        <v>6203261100014</v>
      </c>
      <c r="L48" s="5">
        <v>44652</v>
      </c>
      <c r="M48" s="5">
        <v>45474</v>
      </c>
      <c r="N48" s="5">
        <v>45838</v>
      </c>
      <c r="O48" s="4">
        <v>15987.35</v>
      </c>
      <c r="P48" s="4">
        <v>1</v>
      </c>
      <c r="Q48" s="4" t="s">
        <v>33</v>
      </c>
      <c r="R48" s="4" t="s">
        <v>34</v>
      </c>
      <c r="S48" s="4">
        <v>770001</v>
      </c>
      <c r="T48" s="4">
        <v>77400411916</v>
      </c>
      <c r="U48" s="4">
        <v>20</v>
      </c>
      <c r="V48" s="4">
        <v>0</v>
      </c>
      <c r="W48" s="4">
        <v>0</v>
      </c>
      <c r="X48" s="4">
        <v>2846.2</v>
      </c>
      <c r="Y48" s="4">
        <v>15987.35</v>
      </c>
      <c r="Z48" s="4">
        <v>13121.15</v>
      </c>
      <c r="AA48" s="4" t="s">
        <v>35</v>
      </c>
    </row>
    <row r="49" spans="1:27" s="4" customFormat="1" x14ac:dyDescent="0.3">
      <c r="A49" s="4" t="s">
        <v>29</v>
      </c>
      <c r="B49" s="4">
        <v>3314773</v>
      </c>
      <c r="C49" s="4">
        <v>3314773</v>
      </c>
      <c r="D49" s="4" t="s">
        <v>134</v>
      </c>
      <c r="E49" s="4" t="s">
        <v>37</v>
      </c>
      <c r="F49" s="4" t="s">
        <v>135</v>
      </c>
      <c r="G49" s="5">
        <v>19420</v>
      </c>
      <c r="H49" s="4">
        <f>DAY(G49)</f>
        <v>2</v>
      </c>
      <c r="I49" s="4">
        <f>MONTH(G49)</f>
        <v>3</v>
      </c>
      <c r="J49" s="4">
        <f>YEAR(G49)</f>
        <v>1953</v>
      </c>
      <c r="K49" s="6">
        <v>5303021100071</v>
      </c>
      <c r="L49" s="5">
        <v>41365</v>
      </c>
      <c r="M49" s="5">
        <v>45474</v>
      </c>
      <c r="N49" s="5">
        <v>45838</v>
      </c>
      <c r="O49" s="4">
        <v>12201.22</v>
      </c>
      <c r="P49" s="4">
        <v>1</v>
      </c>
      <c r="Q49" s="4" t="s">
        <v>33</v>
      </c>
      <c r="R49" s="4" t="s">
        <v>34</v>
      </c>
      <c r="S49" s="4">
        <v>360164</v>
      </c>
      <c r="T49" s="7" t="s">
        <v>136</v>
      </c>
      <c r="U49" s="4">
        <v>20</v>
      </c>
      <c r="V49" s="4">
        <v>0</v>
      </c>
      <c r="W49" s="4">
        <v>0</v>
      </c>
      <c r="X49" s="4">
        <v>1725.3</v>
      </c>
      <c r="Y49" s="4">
        <v>12201.22</v>
      </c>
      <c r="Z49" s="4">
        <v>10455.92</v>
      </c>
      <c r="AA49" s="4" t="s">
        <v>35</v>
      </c>
    </row>
    <row r="50" spans="1:27" s="4" customFormat="1" x14ac:dyDescent="0.3">
      <c r="A50" s="4" t="s">
        <v>29</v>
      </c>
      <c r="B50" s="4">
        <v>3320620</v>
      </c>
      <c r="C50" s="4">
        <v>3320620</v>
      </c>
      <c r="D50" s="4" t="s">
        <v>118</v>
      </c>
      <c r="E50" s="4" t="s">
        <v>64</v>
      </c>
      <c r="F50" s="4" t="s">
        <v>137</v>
      </c>
      <c r="G50" s="5">
        <v>22713</v>
      </c>
      <c r="H50" s="4">
        <f>DAY(G50)</f>
        <v>8</v>
      </c>
      <c r="I50" s="4">
        <f>MONTH(G50)</f>
        <v>3</v>
      </c>
      <c r="J50" s="4">
        <f>YEAR(G50)</f>
        <v>1962</v>
      </c>
      <c r="K50" s="6">
        <v>6203081100103</v>
      </c>
      <c r="L50" s="5">
        <v>44652</v>
      </c>
      <c r="M50" s="5">
        <v>45474</v>
      </c>
      <c r="N50" s="5">
        <v>45838</v>
      </c>
      <c r="O50" s="4">
        <v>5580.57</v>
      </c>
      <c r="P50" s="4">
        <v>1</v>
      </c>
      <c r="Q50" s="4" t="s">
        <v>33</v>
      </c>
      <c r="R50" s="4" t="s">
        <v>34</v>
      </c>
      <c r="S50" s="4">
        <v>770005</v>
      </c>
      <c r="T50" s="4">
        <v>77400914527</v>
      </c>
      <c r="U50" s="4">
        <v>520</v>
      </c>
      <c r="V50" s="4">
        <v>0</v>
      </c>
      <c r="W50" s="4">
        <v>0</v>
      </c>
      <c r="X50" s="4">
        <v>207.78</v>
      </c>
      <c r="Y50" s="4">
        <v>5580.57</v>
      </c>
      <c r="Z50" s="4">
        <v>4852.79</v>
      </c>
      <c r="AA50" s="4" t="s">
        <v>35</v>
      </c>
    </row>
    <row r="51" spans="1:27" s="4" customFormat="1" x14ac:dyDescent="0.3">
      <c r="A51" s="4" t="s">
        <v>29</v>
      </c>
      <c r="B51" s="4">
        <v>3334795</v>
      </c>
      <c r="C51" s="4">
        <v>3334795</v>
      </c>
      <c r="D51" s="4" t="s">
        <v>96</v>
      </c>
      <c r="E51" s="4" t="s">
        <v>103</v>
      </c>
      <c r="F51" s="4" t="s">
        <v>138</v>
      </c>
      <c r="G51" s="5">
        <v>21996</v>
      </c>
      <c r="H51" s="4">
        <f>DAY(G51)</f>
        <v>21</v>
      </c>
      <c r="I51" s="4">
        <f>MONTH(G51)</f>
        <v>3</v>
      </c>
      <c r="J51" s="4">
        <f>YEAR(G51)</f>
        <v>1960</v>
      </c>
      <c r="K51" s="6">
        <v>216001003334795</v>
      </c>
      <c r="L51" s="5">
        <v>43922</v>
      </c>
      <c r="M51" s="5">
        <v>45474</v>
      </c>
      <c r="N51" s="5">
        <v>45838</v>
      </c>
      <c r="O51" s="4">
        <v>1960.68</v>
      </c>
      <c r="P51" s="4">
        <v>1</v>
      </c>
      <c r="Q51" s="4" t="s">
        <v>33</v>
      </c>
      <c r="R51" s="4" t="s">
        <v>34</v>
      </c>
      <c r="S51" s="4">
        <v>770012</v>
      </c>
      <c r="T51" s="4">
        <v>77400702589</v>
      </c>
      <c r="U51" s="4">
        <v>0</v>
      </c>
      <c r="V51" s="4">
        <v>0</v>
      </c>
      <c r="W51" s="4">
        <v>0</v>
      </c>
      <c r="X51" s="4">
        <v>0</v>
      </c>
      <c r="Y51" s="4">
        <v>1960.68</v>
      </c>
      <c r="Z51" s="4">
        <v>1960.68</v>
      </c>
      <c r="AA51" s="4" t="s">
        <v>35</v>
      </c>
    </row>
    <row r="52" spans="1:27" s="4" customFormat="1" x14ac:dyDescent="0.3">
      <c r="A52" s="4" t="s">
        <v>29</v>
      </c>
      <c r="B52" s="4">
        <v>3335772</v>
      </c>
      <c r="C52" s="4">
        <v>3335772</v>
      </c>
      <c r="D52" s="4" t="s">
        <v>39</v>
      </c>
      <c r="E52" s="4" t="s">
        <v>139</v>
      </c>
      <c r="F52" s="4" t="s">
        <v>140</v>
      </c>
      <c r="G52" s="5">
        <v>20518</v>
      </c>
      <c r="H52" s="4">
        <f>DAY(G52)</f>
        <v>4</v>
      </c>
      <c r="I52" s="4">
        <f>MONTH(G52)</f>
        <v>3</v>
      </c>
      <c r="J52" s="4">
        <f>YEAR(G52)</f>
        <v>1956</v>
      </c>
      <c r="K52" s="6">
        <v>5603041100013</v>
      </c>
      <c r="L52" s="5">
        <v>42461</v>
      </c>
      <c r="M52" s="5">
        <v>45474</v>
      </c>
      <c r="N52" s="5">
        <v>45838</v>
      </c>
      <c r="O52" s="4">
        <v>4811.68</v>
      </c>
      <c r="P52" s="4">
        <v>1</v>
      </c>
      <c r="Q52" s="4" t="s">
        <v>33</v>
      </c>
      <c r="R52" s="4" t="s">
        <v>34</v>
      </c>
      <c r="S52" s="4">
        <v>90001</v>
      </c>
      <c r="T52" s="4">
        <v>51001426005</v>
      </c>
      <c r="U52" s="4">
        <v>20</v>
      </c>
      <c r="V52" s="4">
        <v>0</v>
      </c>
      <c r="W52" s="4">
        <v>0</v>
      </c>
      <c r="X52" s="4">
        <v>54</v>
      </c>
      <c r="Y52" s="4">
        <v>4811.68</v>
      </c>
      <c r="Z52" s="4">
        <v>4737.68</v>
      </c>
      <c r="AA52" s="4" t="s">
        <v>35</v>
      </c>
    </row>
    <row r="53" spans="1:27" s="4" customFormat="1" x14ac:dyDescent="0.3">
      <c r="A53" s="4" t="s">
        <v>29</v>
      </c>
      <c r="B53" s="4">
        <v>3385698</v>
      </c>
      <c r="C53" s="4">
        <v>3385698</v>
      </c>
      <c r="D53" s="4" t="s">
        <v>141</v>
      </c>
      <c r="E53" s="4" t="s">
        <v>142</v>
      </c>
      <c r="F53" s="4" t="s">
        <v>143</v>
      </c>
      <c r="G53" s="5">
        <v>23462</v>
      </c>
      <c r="H53" s="4">
        <f>DAY(G53)</f>
        <v>26</v>
      </c>
      <c r="I53" s="4">
        <f>MONTH(G53)</f>
        <v>3</v>
      </c>
      <c r="J53" s="4">
        <f>YEAR(G53)</f>
        <v>1964</v>
      </c>
      <c r="K53" s="6">
        <v>6403266100049</v>
      </c>
      <c r="L53" s="5">
        <v>45383</v>
      </c>
      <c r="M53" s="5">
        <v>45474</v>
      </c>
      <c r="N53" s="5">
        <v>45838</v>
      </c>
      <c r="O53" s="4">
        <v>1601.84</v>
      </c>
      <c r="P53" s="4">
        <v>1</v>
      </c>
      <c r="Q53" s="4" t="s">
        <v>33</v>
      </c>
      <c r="R53" s="4" t="s">
        <v>34</v>
      </c>
      <c r="S53" s="4">
        <v>770001</v>
      </c>
      <c r="T53" s="4">
        <v>77400564496</v>
      </c>
      <c r="U53" s="4">
        <v>0</v>
      </c>
      <c r="V53" s="4">
        <v>0</v>
      </c>
      <c r="W53" s="4">
        <v>0</v>
      </c>
      <c r="X53" s="4">
        <v>0</v>
      </c>
      <c r="Y53" s="4">
        <v>1601.84</v>
      </c>
      <c r="Z53" s="4">
        <v>1601.84</v>
      </c>
      <c r="AA53" s="4" t="s">
        <v>35</v>
      </c>
    </row>
    <row r="54" spans="1:27" s="4" customFormat="1" x14ac:dyDescent="0.3">
      <c r="A54" s="4" t="s">
        <v>29</v>
      </c>
      <c r="B54" s="4">
        <v>3451900</v>
      </c>
      <c r="C54" s="4">
        <v>3451900</v>
      </c>
      <c r="D54" s="4" t="s">
        <v>86</v>
      </c>
      <c r="E54" s="4" t="s">
        <v>59</v>
      </c>
      <c r="F54" s="4" t="s">
        <v>144</v>
      </c>
      <c r="G54" s="5">
        <v>23828</v>
      </c>
      <c r="H54" s="4">
        <f>DAY(G54)</f>
        <v>27</v>
      </c>
      <c r="I54" s="4">
        <f>MONTH(G54)</f>
        <v>3</v>
      </c>
      <c r="J54" s="4">
        <f>YEAR(G54)</f>
        <v>1965</v>
      </c>
      <c r="K54" s="6">
        <v>6503271100080</v>
      </c>
      <c r="L54" s="5">
        <v>45748</v>
      </c>
      <c r="M54" s="5">
        <v>45748</v>
      </c>
      <c r="N54" s="5">
        <v>45838</v>
      </c>
      <c r="O54" s="4">
        <v>11775.6</v>
      </c>
      <c r="P54" s="4">
        <v>1</v>
      </c>
      <c r="Q54" s="4" t="s">
        <v>33</v>
      </c>
      <c r="R54" s="4" t="s">
        <v>34</v>
      </c>
      <c r="S54" s="4">
        <v>90001</v>
      </c>
      <c r="T54" s="4">
        <v>51000016601</v>
      </c>
      <c r="U54" s="4">
        <v>0</v>
      </c>
      <c r="V54" s="4">
        <v>0</v>
      </c>
      <c r="W54" s="4">
        <v>0</v>
      </c>
      <c r="X54" s="4">
        <v>1618.9</v>
      </c>
      <c r="Y54" s="4">
        <v>11775.6</v>
      </c>
      <c r="Z54" s="4">
        <v>10156.700000000001</v>
      </c>
      <c r="AA54" s="4" t="s">
        <v>35</v>
      </c>
    </row>
    <row r="55" spans="1:27" s="4" customFormat="1" x14ac:dyDescent="0.3">
      <c r="A55" s="4" t="s">
        <v>29</v>
      </c>
      <c r="B55" s="4">
        <v>3456981</v>
      </c>
      <c r="C55" s="4">
        <v>3456981</v>
      </c>
      <c r="D55" s="4" t="s">
        <v>96</v>
      </c>
      <c r="E55" s="4" t="s">
        <v>31</v>
      </c>
      <c r="F55" s="4" t="s">
        <v>145</v>
      </c>
      <c r="G55" s="5">
        <v>23816</v>
      </c>
      <c r="H55" s="4">
        <f>DAY(G55)</f>
        <v>15</v>
      </c>
      <c r="I55" s="4">
        <f>MONTH(G55)</f>
        <v>3</v>
      </c>
      <c r="J55" s="4">
        <f>YEAR(G55)</f>
        <v>1965</v>
      </c>
      <c r="K55" s="6">
        <v>6503151100374</v>
      </c>
      <c r="L55" s="5">
        <v>45383</v>
      </c>
      <c r="M55" s="5">
        <v>45474</v>
      </c>
      <c r="N55" s="5">
        <v>45838</v>
      </c>
      <c r="O55" s="4">
        <v>5494.43</v>
      </c>
      <c r="P55" s="4">
        <v>1</v>
      </c>
      <c r="Q55" s="4" t="s">
        <v>33</v>
      </c>
      <c r="R55" s="4" t="s">
        <v>34</v>
      </c>
      <c r="S55" s="4">
        <v>90001</v>
      </c>
      <c r="T55" s="4">
        <v>51001701944</v>
      </c>
      <c r="U55" s="4">
        <v>20</v>
      </c>
      <c r="V55" s="4">
        <v>0</v>
      </c>
      <c r="W55" s="4">
        <v>0</v>
      </c>
      <c r="X55" s="4">
        <v>190.55</v>
      </c>
      <c r="Y55" s="4">
        <v>5494.43</v>
      </c>
      <c r="Z55" s="4">
        <v>5283.88</v>
      </c>
      <c r="AA55" s="4" t="s">
        <v>35</v>
      </c>
    </row>
    <row r="56" spans="1:27" s="4" customFormat="1" x14ac:dyDescent="0.3">
      <c r="A56" s="4" t="s">
        <v>29</v>
      </c>
      <c r="B56" s="4">
        <v>3460348</v>
      </c>
      <c r="C56" s="4">
        <v>3460348</v>
      </c>
      <c r="D56" s="4" t="s">
        <v>81</v>
      </c>
      <c r="E56" s="4" t="s">
        <v>100</v>
      </c>
      <c r="F56" s="4" t="s">
        <v>146</v>
      </c>
      <c r="G56" s="5">
        <v>23809</v>
      </c>
      <c r="H56" s="4">
        <f>DAY(G56)</f>
        <v>8</v>
      </c>
      <c r="I56" s="4">
        <f>MONTH(G56)</f>
        <v>3</v>
      </c>
      <c r="J56" s="4">
        <f>YEAR(G56)</f>
        <v>1965</v>
      </c>
      <c r="K56" s="6">
        <v>6503086100044</v>
      </c>
      <c r="L56" s="5">
        <v>45748</v>
      </c>
      <c r="M56" s="5">
        <v>45748</v>
      </c>
      <c r="N56" s="5">
        <v>45838</v>
      </c>
      <c r="O56" s="4">
        <v>7977.86</v>
      </c>
      <c r="P56" s="4">
        <v>1</v>
      </c>
      <c r="Q56" s="4" t="s">
        <v>33</v>
      </c>
      <c r="R56" s="4" t="s">
        <v>34</v>
      </c>
      <c r="S56" s="4">
        <v>90001</v>
      </c>
      <c r="T56" s="4">
        <v>51000220691</v>
      </c>
      <c r="U56" s="4">
        <v>0</v>
      </c>
      <c r="V56" s="4">
        <v>0</v>
      </c>
      <c r="W56" s="4">
        <v>0</v>
      </c>
      <c r="X56" s="4">
        <v>687.23</v>
      </c>
      <c r="Y56" s="4">
        <v>7977.86</v>
      </c>
      <c r="Z56" s="4">
        <v>7290.63</v>
      </c>
      <c r="AA56" s="4" t="s">
        <v>35</v>
      </c>
    </row>
    <row r="57" spans="1:27" s="4" customFormat="1" x14ac:dyDescent="0.3">
      <c r="A57" s="4" t="s">
        <v>29</v>
      </c>
      <c r="B57" s="4">
        <v>3463822</v>
      </c>
      <c r="C57" s="4">
        <v>3463822</v>
      </c>
      <c r="D57" s="4" t="s">
        <v>51</v>
      </c>
      <c r="E57" s="4" t="s">
        <v>147</v>
      </c>
      <c r="F57" s="4" t="s">
        <v>148</v>
      </c>
      <c r="G57" s="5">
        <v>23829</v>
      </c>
      <c r="H57" s="4">
        <f>DAY(G57)</f>
        <v>28</v>
      </c>
      <c r="I57" s="4">
        <f>MONTH(G57)</f>
        <v>3</v>
      </c>
      <c r="J57" s="4">
        <f>YEAR(G57)</f>
        <v>1965</v>
      </c>
      <c r="K57" s="6">
        <v>6504281100011</v>
      </c>
      <c r="L57" s="5">
        <v>45748</v>
      </c>
      <c r="M57" s="5">
        <v>45748</v>
      </c>
      <c r="N57" s="5">
        <v>45838</v>
      </c>
      <c r="O57" s="4">
        <v>17998.580000000002</v>
      </c>
      <c r="P57" s="4">
        <v>1</v>
      </c>
      <c r="Q57" s="4" t="s">
        <v>33</v>
      </c>
      <c r="R57" s="4" t="s">
        <v>34</v>
      </c>
      <c r="S57" s="4">
        <v>90001</v>
      </c>
      <c r="T57" s="4">
        <v>51000234374</v>
      </c>
      <c r="U57" s="4">
        <v>0</v>
      </c>
      <c r="V57" s="4">
        <v>0</v>
      </c>
      <c r="W57" s="4">
        <v>0</v>
      </c>
      <c r="X57" s="4">
        <v>3489.53</v>
      </c>
      <c r="Y57" s="4">
        <v>17998.580000000002</v>
      </c>
      <c r="Z57" s="4">
        <v>14509.05</v>
      </c>
      <c r="AA57" s="4" t="s">
        <v>35</v>
      </c>
    </row>
    <row r="58" spans="1:27" s="4" customFormat="1" x14ac:dyDescent="0.3">
      <c r="A58" s="4" t="s">
        <v>29</v>
      </c>
      <c r="B58" s="4">
        <v>3531174</v>
      </c>
      <c r="C58" s="4">
        <v>3531174</v>
      </c>
      <c r="D58" s="4" t="s">
        <v>51</v>
      </c>
      <c r="E58" s="4" t="s">
        <v>87</v>
      </c>
      <c r="F58" s="4" t="s">
        <v>145</v>
      </c>
      <c r="G58" s="5">
        <v>24172</v>
      </c>
      <c r="H58" s="4">
        <f>DAY(G58)</f>
        <v>6</v>
      </c>
      <c r="I58" s="4">
        <f>MONTH(G58)</f>
        <v>3</v>
      </c>
      <c r="J58" s="4">
        <f>YEAR(G58)</f>
        <v>1966</v>
      </c>
      <c r="K58" s="6">
        <v>6603061100041</v>
      </c>
      <c r="L58" s="5">
        <v>40544</v>
      </c>
      <c r="M58" s="5">
        <v>45474</v>
      </c>
      <c r="N58" s="5">
        <v>45838</v>
      </c>
      <c r="O58" s="4">
        <v>3429.62</v>
      </c>
      <c r="P58" s="4">
        <v>1</v>
      </c>
      <c r="Q58" s="4" t="s">
        <v>33</v>
      </c>
      <c r="R58" s="4" t="s">
        <v>34</v>
      </c>
      <c r="S58" s="4">
        <v>282064</v>
      </c>
      <c r="T58" s="4">
        <v>62093310698</v>
      </c>
      <c r="U58" s="4">
        <v>0</v>
      </c>
      <c r="V58" s="4">
        <v>0</v>
      </c>
      <c r="W58" s="4">
        <v>0</v>
      </c>
      <c r="X58" s="4">
        <v>0</v>
      </c>
      <c r="Y58" s="4">
        <v>3429.62</v>
      </c>
      <c r="Z58" s="4">
        <v>3429.62</v>
      </c>
      <c r="AA58" s="4" t="s">
        <v>35</v>
      </c>
    </row>
    <row r="59" spans="1:27" s="4" customFormat="1" x14ac:dyDescent="0.3">
      <c r="A59" s="4" t="s">
        <v>29</v>
      </c>
      <c r="B59" s="4">
        <v>3537905</v>
      </c>
      <c r="C59" s="4">
        <v>3537905</v>
      </c>
      <c r="D59" s="4" t="s">
        <v>149</v>
      </c>
      <c r="E59" s="4" t="s">
        <v>150</v>
      </c>
      <c r="F59" s="4" t="s">
        <v>151</v>
      </c>
      <c r="G59" s="5">
        <v>26371</v>
      </c>
      <c r="H59" s="4">
        <f>DAY(G59)</f>
        <v>13</v>
      </c>
      <c r="I59" s="4">
        <f>MONTH(G59)</f>
        <v>3</v>
      </c>
      <c r="J59" s="4">
        <f>YEAR(G59)</f>
        <v>1972</v>
      </c>
      <c r="K59" s="6">
        <v>7203131100029</v>
      </c>
      <c r="L59" s="5">
        <v>45597</v>
      </c>
      <c r="M59" s="5">
        <v>45627</v>
      </c>
      <c r="N59" s="5">
        <v>45838</v>
      </c>
      <c r="O59" s="4">
        <v>5382.06</v>
      </c>
      <c r="P59" s="4">
        <v>1</v>
      </c>
      <c r="Q59" s="4" t="s">
        <v>33</v>
      </c>
      <c r="R59" s="4" t="s">
        <v>34</v>
      </c>
      <c r="S59" s="4">
        <v>280164</v>
      </c>
      <c r="T59" s="4">
        <v>62388363790</v>
      </c>
      <c r="U59" s="4">
        <v>0</v>
      </c>
      <c r="V59" s="4">
        <v>0</v>
      </c>
      <c r="W59" s="4">
        <v>0</v>
      </c>
      <c r="X59" s="4">
        <v>393.07</v>
      </c>
      <c r="Y59" s="4">
        <v>5382.06</v>
      </c>
      <c r="Z59" s="4">
        <v>4988.99</v>
      </c>
      <c r="AA59" s="4" t="s">
        <v>35</v>
      </c>
    </row>
    <row r="60" spans="1:27" s="4" customFormat="1" x14ac:dyDescent="0.3">
      <c r="A60" s="4" t="s">
        <v>29</v>
      </c>
      <c r="B60" s="4">
        <v>3572645</v>
      </c>
      <c r="C60" s="4">
        <v>3572645</v>
      </c>
      <c r="D60" s="4" t="s">
        <v>75</v>
      </c>
      <c r="E60" s="4" t="s">
        <v>152</v>
      </c>
      <c r="F60" s="4" t="s">
        <v>153</v>
      </c>
      <c r="G60" s="5">
        <v>26747</v>
      </c>
      <c r="H60" s="4">
        <f>DAY(G60)</f>
        <v>24</v>
      </c>
      <c r="I60" s="4">
        <f>MONTH(G60)</f>
        <v>3</v>
      </c>
      <c r="J60" s="4">
        <f>YEAR(G60)</f>
        <v>1973</v>
      </c>
      <c r="K60" s="6">
        <v>7303241100099</v>
      </c>
      <c r="L60" s="5">
        <v>43800</v>
      </c>
      <c r="M60" s="5">
        <v>45474</v>
      </c>
      <c r="N60" s="5">
        <v>45838</v>
      </c>
      <c r="O60" s="4">
        <v>2135.4699999999998</v>
      </c>
      <c r="P60" s="4">
        <v>1</v>
      </c>
      <c r="Q60" s="4" t="s">
        <v>33</v>
      </c>
      <c r="R60" s="4" t="s">
        <v>34</v>
      </c>
      <c r="S60" s="4">
        <v>90001</v>
      </c>
      <c r="T60" s="4">
        <v>51000608673</v>
      </c>
      <c r="U60" s="4">
        <v>0</v>
      </c>
      <c r="V60" s="4">
        <v>0</v>
      </c>
      <c r="W60" s="4">
        <v>0</v>
      </c>
      <c r="X60" s="4">
        <v>0</v>
      </c>
      <c r="Y60" s="4">
        <v>2135.4699999999998</v>
      </c>
      <c r="Z60" s="4">
        <v>2135.4699999999998</v>
      </c>
      <c r="AA60" s="4" t="s">
        <v>35</v>
      </c>
    </row>
    <row r="61" spans="1:27" s="4" customFormat="1" x14ac:dyDescent="0.3">
      <c r="A61" s="4" t="s">
        <v>29</v>
      </c>
      <c r="B61" s="4">
        <v>3575246</v>
      </c>
      <c r="C61" s="4">
        <v>3575246</v>
      </c>
      <c r="D61" s="4" t="s">
        <v>154</v>
      </c>
      <c r="E61" s="4" t="s">
        <v>155</v>
      </c>
      <c r="F61" s="4" t="s">
        <v>156</v>
      </c>
      <c r="G61" s="5">
        <v>26384</v>
      </c>
      <c r="H61" s="4">
        <f>DAY(G61)</f>
        <v>26</v>
      </c>
      <c r="I61" s="4">
        <f>MONTH(G61)</f>
        <v>3</v>
      </c>
      <c r="J61" s="4">
        <f>YEAR(G61)</f>
        <v>1972</v>
      </c>
      <c r="K61" s="6">
        <v>7203261100039</v>
      </c>
      <c r="L61" s="5">
        <v>40544</v>
      </c>
      <c r="M61" s="5">
        <v>45474</v>
      </c>
      <c r="N61" s="5">
        <v>45838</v>
      </c>
      <c r="O61" s="4">
        <v>1920.57</v>
      </c>
      <c r="P61" s="4">
        <v>1</v>
      </c>
      <c r="Q61" s="4" t="s">
        <v>33</v>
      </c>
      <c r="R61" s="4" t="s">
        <v>34</v>
      </c>
      <c r="S61" s="4">
        <v>770001</v>
      </c>
      <c r="T61" s="4">
        <v>1040121315701</v>
      </c>
      <c r="U61" s="4">
        <v>0</v>
      </c>
      <c r="V61" s="4">
        <v>0</v>
      </c>
      <c r="W61" s="4">
        <v>0</v>
      </c>
      <c r="X61" s="4">
        <v>0</v>
      </c>
      <c r="Y61" s="4">
        <v>1920.57</v>
      </c>
      <c r="Z61" s="4">
        <v>1920.57</v>
      </c>
      <c r="AA61" s="4" t="s">
        <v>35</v>
      </c>
    </row>
    <row r="62" spans="1:27" s="4" customFormat="1" x14ac:dyDescent="0.3">
      <c r="A62" s="4" t="s">
        <v>29</v>
      </c>
      <c r="B62" s="4">
        <v>3588547</v>
      </c>
      <c r="C62" s="4">
        <v>3588547</v>
      </c>
      <c r="D62" s="4" t="s">
        <v>66</v>
      </c>
      <c r="E62" s="4" t="s">
        <v>52</v>
      </c>
      <c r="F62" s="4" t="s">
        <v>76</v>
      </c>
      <c r="G62" s="5">
        <v>22726</v>
      </c>
      <c r="H62" s="4">
        <f>DAY(G62)</f>
        <v>21</v>
      </c>
      <c r="I62" s="4">
        <f>MONTH(G62)</f>
        <v>3</v>
      </c>
      <c r="J62" s="4">
        <f>YEAR(G62)</f>
        <v>1962</v>
      </c>
      <c r="K62" s="6">
        <v>6203211100163</v>
      </c>
      <c r="L62" s="5">
        <v>44652</v>
      </c>
      <c r="M62" s="5">
        <v>45474</v>
      </c>
      <c r="N62" s="5">
        <v>45838</v>
      </c>
      <c r="O62" s="4">
        <v>1564.04</v>
      </c>
      <c r="P62" s="4">
        <v>1</v>
      </c>
      <c r="Q62" s="4" t="s">
        <v>33</v>
      </c>
      <c r="R62" s="4" t="s">
        <v>34</v>
      </c>
      <c r="S62" s="4">
        <v>90001</v>
      </c>
      <c r="T62" s="4">
        <v>51001351706</v>
      </c>
      <c r="U62" s="4">
        <v>0</v>
      </c>
      <c r="V62" s="4">
        <v>0</v>
      </c>
      <c r="W62" s="4">
        <v>0</v>
      </c>
      <c r="X62" s="4">
        <v>0</v>
      </c>
      <c r="Y62" s="4">
        <v>1564.04</v>
      </c>
      <c r="Z62" s="4">
        <v>1564.04</v>
      </c>
      <c r="AA62" s="4" t="s">
        <v>35</v>
      </c>
    </row>
    <row r="63" spans="1:27" s="4" customFormat="1" x14ac:dyDescent="0.3">
      <c r="A63" s="4" t="s">
        <v>29</v>
      </c>
      <c r="B63" s="4">
        <v>3595677</v>
      </c>
      <c r="C63" s="4">
        <v>3595677</v>
      </c>
      <c r="D63" s="4" t="s">
        <v>51</v>
      </c>
      <c r="E63" s="4" t="s">
        <v>40</v>
      </c>
      <c r="F63" s="4" t="s">
        <v>157</v>
      </c>
      <c r="G63" s="5">
        <v>25630</v>
      </c>
      <c r="H63" s="4">
        <f>DAY(G63)</f>
        <v>3</v>
      </c>
      <c r="I63" s="4">
        <f>MONTH(G63)</f>
        <v>3</v>
      </c>
      <c r="J63" s="4">
        <f>YEAR(G63)</f>
        <v>1970</v>
      </c>
      <c r="K63" s="6">
        <v>7003031100073</v>
      </c>
      <c r="L63" s="5">
        <v>44440</v>
      </c>
      <c r="M63" s="5">
        <v>45474</v>
      </c>
      <c r="N63" s="5">
        <v>45838</v>
      </c>
      <c r="O63" s="4">
        <v>25118.959999999999</v>
      </c>
      <c r="P63" s="4">
        <v>1</v>
      </c>
      <c r="Q63" s="4" t="s">
        <v>33</v>
      </c>
      <c r="R63" s="4" t="s">
        <v>34</v>
      </c>
      <c r="S63" s="4">
        <v>280164</v>
      </c>
      <c r="T63" s="4">
        <v>57710048250</v>
      </c>
      <c r="U63" s="4">
        <v>0</v>
      </c>
      <c r="V63" s="4">
        <v>0</v>
      </c>
      <c r="W63" s="4">
        <v>0</v>
      </c>
      <c r="X63" s="4">
        <v>6064.25</v>
      </c>
      <c r="Y63" s="4">
        <v>25118.959999999999</v>
      </c>
      <c r="Z63" s="4">
        <v>19054.71</v>
      </c>
      <c r="AA63" s="4" t="s">
        <v>35</v>
      </c>
    </row>
    <row r="64" spans="1:27" s="4" customFormat="1" x14ac:dyDescent="0.3">
      <c r="A64" s="4" t="s">
        <v>29</v>
      </c>
      <c r="B64" s="4">
        <v>3595701</v>
      </c>
      <c r="C64" s="4">
        <v>3595701</v>
      </c>
      <c r="D64" s="4" t="s">
        <v>158</v>
      </c>
      <c r="E64" s="4" t="s">
        <v>72</v>
      </c>
      <c r="F64" s="4" t="s">
        <v>159</v>
      </c>
      <c r="G64" s="5">
        <v>25640</v>
      </c>
      <c r="H64" s="4">
        <f>DAY(G64)</f>
        <v>13</v>
      </c>
      <c r="I64" s="4">
        <f>MONTH(G64)</f>
        <v>3</v>
      </c>
      <c r="J64" s="4">
        <f>YEAR(G64)</f>
        <v>1970</v>
      </c>
      <c r="K64" s="6">
        <v>7203131100177</v>
      </c>
      <c r="L64" s="5">
        <v>45597</v>
      </c>
      <c r="M64" s="5">
        <v>45627</v>
      </c>
      <c r="N64" s="5">
        <v>45838</v>
      </c>
      <c r="O64" s="4">
        <v>9218.44</v>
      </c>
      <c r="P64" s="4">
        <v>1</v>
      </c>
      <c r="Q64" s="4" t="s">
        <v>33</v>
      </c>
      <c r="R64" s="4" t="s">
        <v>34</v>
      </c>
      <c r="S64" s="4">
        <v>280164</v>
      </c>
      <c r="T64" s="4">
        <v>57711163396</v>
      </c>
      <c r="U64" s="4">
        <v>0</v>
      </c>
      <c r="V64" s="4">
        <v>0</v>
      </c>
      <c r="W64" s="4">
        <v>0</v>
      </c>
      <c r="X64" s="4">
        <v>1204.6099999999999</v>
      </c>
      <c r="Y64" s="4">
        <v>9218.44</v>
      </c>
      <c r="Z64" s="4">
        <v>8013.83</v>
      </c>
      <c r="AA64" s="4" t="s">
        <v>35</v>
      </c>
    </row>
    <row r="65" spans="1:27" s="4" customFormat="1" x14ac:dyDescent="0.3">
      <c r="A65" s="4" t="s">
        <v>29</v>
      </c>
      <c r="B65" s="4">
        <v>3613151</v>
      </c>
      <c r="C65" s="4">
        <v>3613151</v>
      </c>
      <c r="D65" s="4" t="s">
        <v>116</v>
      </c>
      <c r="E65" s="4" t="s">
        <v>37</v>
      </c>
      <c r="F65" s="4" t="s">
        <v>160</v>
      </c>
      <c r="G65" s="5">
        <v>27104</v>
      </c>
      <c r="H65" s="4">
        <f>DAY(G65)</f>
        <v>16</v>
      </c>
      <c r="I65" s="4">
        <f>MONTH(G65)</f>
        <v>3</v>
      </c>
      <c r="J65" s="4">
        <f>YEAR(G65)</f>
        <v>1974</v>
      </c>
      <c r="K65" s="6">
        <v>7403161100028</v>
      </c>
      <c r="L65" s="5">
        <v>40544</v>
      </c>
      <c r="M65" s="5">
        <v>45474</v>
      </c>
      <c r="N65" s="5">
        <v>45838</v>
      </c>
      <c r="O65" s="4">
        <v>2145.65</v>
      </c>
      <c r="P65" s="4">
        <v>1</v>
      </c>
      <c r="Q65" s="4" t="s">
        <v>33</v>
      </c>
      <c r="R65" s="4" t="s">
        <v>34</v>
      </c>
      <c r="S65" s="4">
        <v>770001</v>
      </c>
      <c r="T65" s="4">
        <v>77030752700</v>
      </c>
      <c r="U65" s="4">
        <v>0</v>
      </c>
      <c r="V65" s="4">
        <v>0</v>
      </c>
      <c r="W65" s="4">
        <v>0</v>
      </c>
      <c r="X65" s="4">
        <v>0</v>
      </c>
      <c r="Y65" s="4">
        <v>2145.65</v>
      </c>
      <c r="Z65" s="4">
        <v>2145.65</v>
      </c>
      <c r="AA65" s="4" t="s">
        <v>35</v>
      </c>
    </row>
    <row r="66" spans="1:27" s="4" customFormat="1" x14ac:dyDescent="0.3">
      <c r="A66" s="4" t="s">
        <v>29</v>
      </c>
      <c r="B66" s="4">
        <v>3661484</v>
      </c>
      <c r="C66" s="4">
        <v>3661484</v>
      </c>
      <c r="D66" s="4" t="s">
        <v>127</v>
      </c>
      <c r="E66" s="4" t="s">
        <v>37</v>
      </c>
      <c r="F66" s="4" t="s">
        <v>88</v>
      </c>
      <c r="G66" s="5">
        <v>26378</v>
      </c>
      <c r="H66" s="4">
        <f>DAY(G66)</f>
        <v>20</v>
      </c>
      <c r="I66" s="4">
        <f>MONTH(G66)</f>
        <v>3</v>
      </c>
      <c r="J66" s="4">
        <f>YEAR(G66)</f>
        <v>1972</v>
      </c>
      <c r="K66" s="6">
        <v>7203206100011</v>
      </c>
      <c r="L66" s="5">
        <v>44440</v>
      </c>
      <c r="M66" s="5">
        <v>45474</v>
      </c>
      <c r="N66" s="5">
        <v>45838</v>
      </c>
      <c r="O66" s="4">
        <v>8738.8700000000008</v>
      </c>
      <c r="P66" s="4">
        <v>1</v>
      </c>
      <c r="Q66" s="4" t="s">
        <v>33</v>
      </c>
      <c r="R66" s="4" t="s">
        <v>34</v>
      </c>
      <c r="S66" s="4">
        <v>770001</v>
      </c>
      <c r="T66" s="4">
        <v>77400928617</v>
      </c>
      <c r="U66" s="4">
        <v>0</v>
      </c>
      <c r="V66" s="4">
        <v>0</v>
      </c>
      <c r="W66" s="4">
        <v>0</v>
      </c>
      <c r="X66" s="4">
        <v>1084.71</v>
      </c>
      <c r="Y66" s="4">
        <v>8738.8700000000008</v>
      </c>
      <c r="Z66" s="4">
        <v>7654.16</v>
      </c>
      <c r="AA66" s="4" t="s">
        <v>35</v>
      </c>
    </row>
    <row r="67" spans="1:27" s="4" customFormat="1" x14ac:dyDescent="0.3">
      <c r="A67" s="4" t="s">
        <v>29</v>
      </c>
      <c r="B67" s="4">
        <v>3693074</v>
      </c>
      <c r="C67" s="4">
        <v>3693074</v>
      </c>
      <c r="D67" s="4" t="s">
        <v>66</v>
      </c>
      <c r="E67" s="4" t="s">
        <v>31</v>
      </c>
      <c r="F67" s="4" t="s">
        <v>161</v>
      </c>
      <c r="G67" s="5">
        <v>27098</v>
      </c>
      <c r="H67" s="4">
        <f>DAY(G67)</f>
        <v>10</v>
      </c>
      <c r="I67" s="4">
        <f>MONTH(G67)</f>
        <v>3</v>
      </c>
      <c r="J67" s="4">
        <f>YEAR(G67)</f>
        <v>1974</v>
      </c>
      <c r="K67" s="6">
        <v>7403101100039</v>
      </c>
      <c r="L67" s="5">
        <v>40544</v>
      </c>
      <c r="M67" s="5">
        <v>45444</v>
      </c>
      <c r="N67" s="5">
        <v>45838</v>
      </c>
      <c r="O67" s="4">
        <v>3769.44</v>
      </c>
      <c r="P67" s="4">
        <v>1</v>
      </c>
      <c r="Q67" s="4" t="s">
        <v>33</v>
      </c>
      <c r="R67" s="4" t="s">
        <v>34</v>
      </c>
      <c r="S67" s="4">
        <v>360164</v>
      </c>
      <c r="T67" s="4">
        <v>20000194922</v>
      </c>
      <c r="U67" s="4">
        <v>1220.6300000000001</v>
      </c>
      <c r="V67" s="4">
        <v>0</v>
      </c>
      <c r="W67" s="4">
        <v>0</v>
      </c>
      <c r="X67" s="4">
        <v>70.55</v>
      </c>
      <c r="Y67" s="4">
        <v>3769.44</v>
      </c>
      <c r="Z67" s="4">
        <v>2478.2600000000002</v>
      </c>
      <c r="AA67" s="4" t="s">
        <v>35</v>
      </c>
    </row>
    <row r="68" spans="1:27" s="4" customFormat="1" x14ac:dyDescent="0.3">
      <c r="A68" s="4" t="s">
        <v>29</v>
      </c>
      <c r="B68" s="4">
        <v>3713529</v>
      </c>
      <c r="C68" s="4">
        <v>3713529</v>
      </c>
      <c r="D68" s="4" t="s">
        <v>66</v>
      </c>
      <c r="E68" s="4" t="s">
        <v>72</v>
      </c>
      <c r="F68" s="4" t="s">
        <v>162</v>
      </c>
      <c r="G68" s="5">
        <v>27093</v>
      </c>
      <c r="H68" s="4">
        <f>DAY(G68)</f>
        <v>5</v>
      </c>
      <c r="I68" s="4">
        <f>MONTH(G68)</f>
        <v>3</v>
      </c>
      <c r="J68" s="4">
        <f>YEAR(G68)</f>
        <v>1974</v>
      </c>
      <c r="K68" s="6">
        <v>7403051100021</v>
      </c>
      <c r="L68" s="5">
        <v>45658</v>
      </c>
      <c r="M68" s="5">
        <v>45658</v>
      </c>
      <c r="N68" s="5">
        <v>45838</v>
      </c>
      <c r="O68" s="4">
        <v>3407.82</v>
      </c>
      <c r="P68" s="4">
        <v>1</v>
      </c>
      <c r="Q68" s="4" t="s">
        <v>33</v>
      </c>
      <c r="R68" s="4" t="s">
        <v>34</v>
      </c>
      <c r="S68" s="4">
        <v>770007</v>
      </c>
      <c r="T68" s="4">
        <v>77400438911</v>
      </c>
      <c r="U68" s="4">
        <v>0</v>
      </c>
      <c r="V68" s="4">
        <v>0</v>
      </c>
      <c r="W68" s="4">
        <v>0</v>
      </c>
      <c r="X68" s="4">
        <v>0</v>
      </c>
      <c r="Y68" s="4">
        <v>3407.82</v>
      </c>
      <c r="Z68" s="4">
        <v>3407.82</v>
      </c>
      <c r="AA68" s="4" t="s">
        <v>35</v>
      </c>
    </row>
    <row r="69" spans="1:27" s="4" customFormat="1" x14ac:dyDescent="0.3">
      <c r="A69" s="4" t="s">
        <v>29</v>
      </c>
      <c r="B69" s="4">
        <v>3717231</v>
      </c>
      <c r="C69" s="4">
        <v>3717231</v>
      </c>
      <c r="D69" s="4" t="s">
        <v>163</v>
      </c>
      <c r="E69" s="4" t="s">
        <v>164</v>
      </c>
      <c r="F69" s="4" t="s">
        <v>165</v>
      </c>
      <c r="G69" s="5">
        <v>25995</v>
      </c>
      <c r="H69" s="4">
        <f>DAY(G69)</f>
        <v>3</v>
      </c>
      <c r="I69" s="4">
        <f>MONTH(G69)</f>
        <v>3</v>
      </c>
      <c r="J69" s="4">
        <f>YEAR(G69)</f>
        <v>1971</v>
      </c>
      <c r="K69" s="6">
        <v>7103036100068</v>
      </c>
      <c r="L69" s="5">
        <v>45658</v>
      </c>
      <c r="M69" s="5">
        <v>45658</v>
      </c>
      <c r="N69" s="5">
        <v>45838</v>
      </c>
      <c r="O69" s="4">
        <v>6068.96</v>
      </c>
      <c r="P69" s="4">
        <v>1</v>
      </c>
      <c r="Q69" s="4" t="s">
        <v>33</v>
      </c>
      <c r="R69" s="4" t="s">
        <v>34</v>
      </c>
      <c r="S69" s="4">
        <v>770005</v>
      </c>
      <c r="T69" s="4">
        <v>77400498841</v>
      </c>
      <c r="U69" s="4">
        <v>0</v>
      </c>
      <c r="V69" s="4">
        <v>0</v>
      </c>
      <c r="W69" s="4">
        <v>0</v>
      </c>
      <c r="X69" s="4">
        <v>530.45000000000005</v>
      </c>
      <c r="Y69" s="4">
        <v>6068.96</v>
      </c>
      <c r="Z69" s="4">
        <v>5538.51</v>
      </c>
      <c r="AA69" s="4" t="s">
        <v>35</v>
      </c>
    </row>
    <row r="70" spans="1:27" s="4" customFormat="1" x14ac:dyDescent="0.3">
      <c r="A70" s="4" t="s">
        <v>29</v>
      </c>
      <c r="B70" s="4">
        <v>3726679</v>
      </c>
      <c r="C70" s="4">
        <v>3726679</v>
      </c>
      <c r="D70" s="4" t="s">
        <v>166</v>
      </c>
      <c r="E70" s="4" t="s">
        <v>55</v>
      </c>
      <c r="F70" s="4" t="s">
        <v>167</v>
      </c>
      <c r="G70" s="5">
        <v>26726</v>
      </c>
      <c r="H70" s="4">
        <f>DAY(G70)</f>
        <v>3</v>
      </c>
      <c r="I70" s="4">
        <f>MONTH(G70)</f>
        <v>3</v>
      </c>
      <c r="J70" s="4">
        <f>YEAR(G70)</f>
        <v>1973</v>
      </c>
      <c r="K70" s="6">
        <v>7303031100259</v>
      </c>
      <c r="L70" s="5">
        <v>43252</v>
      </c>
      <c r="M70" s="5">
        <v>45474</v>
      </c>
      <c r="N70" s="5">
        <v>45838</v>
      </c>
      <c r="O70" s="4">
        <v>1790.36</v>
      </c>
      <c r="P70" s="4">
        <v>1</v>
      </c>
      <c r="Q70" s="4" t="s">
        <v>33</v>
      </c>
      <c r="R70" s="4" t="s">
        <v>34</v>
      </c>
      <c r="S70" s="4">
        <v>90001</v>
      </c>
      <c r="T70" s="4">
        <v>51001177986</v>
      </c>
      <c r="U70" s="4">
        <v>0</v>
      </c>
      <c r="V70" s="4">
        <v>0</v>
      </c>
      <c r="W70" s="4">
        <v>0</v>
      </c>
      <c r="X70" s="4">
        <v>0</v>
      </c>
      <c r="Y70" s="4">
        <v>1790.36</v>
      </c>
      <c r="Z70" s="4">
        <v>1790.36</v>
      </c>
      <c r="AA70" s="4" t="s">
        <v>35</v>
      </c>
    </row>
    <row r="71" spans="1:27" s="4" customFormat="1" x14ac:dyDescent="0.3">
      <c r="A71" s="4" t="s">
        <v>29</v>
      </c>
      <c r="B71" s="4">
        <v>3768574</v>
      </c>
      <c r="C71" s="4">
        <v>3768574</v>
      </c>
      <c r="D71" s="4" t="s">
        <v>168</v>
      </c>
      <c r="E71" s="4" t="s">
        <v>69</v>
      </c>
      <c r="F71" s="4" t="s">
        <v>159</v>
      </c>
      <c r="G71" s="5">
        <v>27106</v>
      </c>
      <c r="H71" s="4">
        <f>DAY(G71)</f>
        <v>18</v>
      </c>
      <c r="I71" s="4">
        <f>MONTH(G71)</f>
        <v>3</v>
      </c>
      <c r="J71" s="4">
        <f>YEAR(G71)</f>
        <v>1974</v>
      </c>
      <c r="K71" s="6">
        <v>7403181100099</v>
      </c>
      <c r="L71" s="5">
        <v>44713</v>
      </c>
      <c r="M71" s="5">
        <v>45474</v>
      </c>
      <c r="N71" s="5">
        <v>45838</v>
      </c>
      <c r="O71" s="4">
        <v>5661</v>
      </c>
      <c r="P71" s="4">
        <v>1</v>
      </c>
      <c r="Q71" s="4" t="s">
        <v>33</v>
      </c>
      <c r="R71" s="4" t="s">
        <v>34</v>
      </c>
      <c r="S71" s="4">
        <v>660564</v>
      </c>
      <c r="T71" s="4">
        <v>9110000309004</v>
      </c>
      <c r="U71" s="4">
        <v>0</v>
      </c>
      <c r="V71" s="4">
        <v>0</v>
      </c>
      <c r="W71" s="4">
        <v>0</v>
      </c>
      <c r="X71" s="4">
        <v>448.86</v>
      </c>
      <c r="Y71" s="4">
        <v>5661</v>
      </c>
      <c r="Z71" s="4">
        <v>5212.1400000000003</v>
      </c>
      <c r="AA71" s="4" t="s">
        <v>35</v>
      </c>
    </row>
    <row r="72" spans="1:27" s="4" customFormat="1" x14ac:dyDescent="0.3">
      <c r="A72" s="4" t="s">
        <v>29</v>
      </c>
      <c r="B72" s="4">
        <v>3768921</v>
      </c>
      <c r="C72" s="4">
        <v>3768921</v>
      </c>
      <c r="D72" s="4" t="s">
        <v>169</v>
      </c>
      <c r="E72" s="4" t="s">
        <v>170</v>
      </c>
      <c r="F72" s="4" t="s">
        <v>171</v>
      </c>
      <c r="G72" s="5">
        <v>27481</v>
      </c>
      <c r="H72" s="4">
        <f>DAY(G72)</f>
        <v>28</v>
      </c>
      <c r="I72" s="4">
        <f>MONTH(G72)</f>
        <v>3</v>
      </c>
      <c r="J72" s="4">
        <f>YEAR(G72)</f>
        <v>1975</v>
      </c>
      <c r="K72" s="6">
        <v>7503281100012</v>
      </c>
      <c r="L72" s="5">
        <v>40544</v>
      </c>
      <c r="M72" s="5">
        <v>45444</v>
      </c>
      <c r="N72" s="5">
        <v>45838</v>
      </c>
      <c r="O72" s="4">
        <v>1920.57</v>
      </c>
      <c r="P72" s="4">
        <v>1</v>
      </c>
      <c r="Q72" s="4" t="s">
        <v>33</v>
      </c>
      <c r="R72" s="4" t="s">
        <v>34</v>
      </c>
      <c r="S72" s="4">
        <v>90001</v>
      </c>
      <c r="T72" s="4">
        <v>51000065963</v>
      </c>
      <c r="U72" s="4">
        <v>520</v>
      </c>
      <c r="V72" s="4">
        <v>0</v>
      </c>
      <c r="W72" s="4">
        <v>0</v>
      </c>
      <c r="X72" s="4">
        <v>0</v>
      </c>
      <c r="Y72" s="4">
        <v>1920.57</v>
      </c>
      <c r="Z72" s="4">
        <v>1400.57</v>
      </c>
      <c r="AA72" s="4" t="s">
        <v>35</v>
      </c>
    </row>
    <row r="73" spans="1:27" s="4" customFormat="1" x14ac:dyDescent="0.3">
      <c r="A73" s="4" t="s">
        <v>29</v>
      </c>
      <c r="B73" s="4">
        <v>3783285</v>
      </c>
      <c r="C73" s="4">
        <v>3783285</v>
      </c>
      <c r="D73" s="4" t="s">
        <v>66</v>
      </c>
      <c r="E73" s="4" t="s">
        <v>52</v>
      </c>
      <c r="F73" s="4" t="s">
        <v>172</v>
      </c>
      <c r="G73" s="5">
        <v>28207</v>
      </c>
      <c r="H73" s="4">
        <f>DAY(G73)</f>
        <v>23</v>
      </c>
      <c r="I73" s="4">
        <f>MONTH(G73)</f>
        <v>3</v>
      </c>
      <c r="J73" s="4">
        <f>YEAR(G73)</f>
        <v>1977</v>
      </c>
      <c r="K73" s="6">
        <v>7703231100043</v>
      </c>
      <c r="L73" s="5">
        <v>41730</v>
      </c>
      <c r="M73" s="5">
        <v>45474</v>
      </c>
      <c r="N73" s="5">
        <v>45838</v>
      </c>
      <c r="O73" s="4">
        <v>5082.7299999999996</v>
      </c>
      <c r="P73" s="4">
        <v>1</v>
      </c>
      <c r="Q73" s="4" t="s">
        <v>33</v>
      </c>
      <c r="R73" s="4" t="s">
        <v>34</v>
      </c>
      <c r="S73" s="4">
        <v>282064</v>
      </c>
      <c r="T73" s="4">
        <v>62467365815</v>
      </c>
      <c r="U73" s="4">
        <v>0</v>
      </c>
      <c r="V73" s="4">
        <v>0</v>
      </c>
      <c r="W73" s="4">
        <v>0</v>
      </c>
      <c r="X73" s="4">
        <v>333.21</v>
      </c>
      <c r="Y73" s="4">
        <v>5082.7299999999996</v>
      </c>
      <c r="Z73" s="4">
        <v>4749.5200000000004</v>
      </c>
      <c r="AA73" s="4" t="s">
        <v>35</v>
      </c>
    </row>
    <row r="74" spans="1:27" s="4" customFormat="1" x14ac:dyDescent="0.3">
      <c r="A74" s="4" t="s">
        <v>29</v>
      </c>
      <c r="B74" s="4">
        <v>3803936</v>
      </c>
      <c r="C74" s="4">
        <v>3803936</v>
      </c>
      <c r="D74" s="4" t="s">
        <v>66</v>
      </c>
      <c r="E74" s="4" t="s">
        <v>87</v>
      </c>
      <c r="F74" s="4" t="s">
        <v>173</v>
      </c>
      <c r="G74" s="5">
        <v>26372</v>
      </c>
      <c r="H74" s="4">
        <f>DAY(G74)</f>
        <v>14</v>
      </c>
      <c r="I74" s="4">
        <f>MONTH(G74)</f>
        <v>3</v>
      </c>
      <c r="J74" s="4">
        <f>YEAR(G74)</f>
        <v>1972</v>
      </c>
      <c r="K74" s="6">
        <v>7203141100035</v>
      </c>
      <c r="L74" s="5">
        <v>43344</v>
      </c>
      <c r="M74" s="5">
        <v>45383</v>
      </c>
      <c r="N74" s="5">
        <v>45838</v>
      </c>
      <c r="O74" s="4">
        <v>2824.16</v>
      </c>
      <c r="P74" s="4">
        <v>1</v>
      </c>
      <c r="Q74" s="4" t="s">
        <v>33</v>
      </c>
      <c r="R74" s="4" t="s">
        <v>34</v>
      </c>
      <c r="S74" s="4">
        <v>280164</v>
      </c>
      <c r="T74" s="4">
        <v>57720128779</v>
      </c>
      <c r="U74" s="4">
        <v>0</v>
      </c>
      <c r="V74" s="4">
        <v>0</v>
      </c>
      <c r="W74" s="4">
        <v>0</v>
      </c>
      <c r="X74" s="4">
        <v>0</v>
      </c>
      <c r="Y74" s="4">
        <v>2824.16</v>
      </c>
      <c r="Z74" s="4">
        <v>2824.16</v>
      </c>
      <c r="AA74" s="4" t="s">
        <v>35</v>
      </c>
    </row>
    <row r="75" spans="1:27" s="4" customFormat="1" x14ac:dyDescent="0.3">
      <c r="A75" s="4" t="s">
        <v>29</v>
      </c>
      <c r="B75" s="4">
        <v>3845903</v>
      </c>
      <c r="C75" s="4">
        <v>3845903</v>
      </c>
      <c r="D75" s="4" t="s">
        <v>66</v>
      </c>
      <c r="E75" s="4" t="s">
        <v>131</v>
      </c>
      <c r="F75" s="4" t="s">
        <v>174</v>
      </c>
      <c r="G75" s="5">
        <v>26382</v>
      </c>
      <c r="H75" s="4">
        <f>DAY(G75)</f>
        <v>24</v>
      </c>
      <c r="I75" s="4">
        <f>MONTH(G75)</f>
        <v>3</v>
      </c>
      <c r="J75" s="4">
        <f>YEAR(G75)</f>
        <v>1972</v>
      </c>
      <c r="K75" s="6">
        <v>7203241100240</v>
      </c>
      <c r="L75" s="5">
        <v>45078</v>
      </c>
      <c r="M75" s="5">
        <v>45474</v>
      </c>
      <c r="N75" s="5">
        <v>45838</v>
      </c>
      <c r="O75" s="4">
        <v>3387.02</v>
      </c>
      <c r="P75" s="4">
        <v>1</v>
      </c>
      <c r="Q75" s="4" t="s">
        <v>33</v>
      </c>
      <c r="R75" s="4" t="s">
        <v>34</v>
      </c>
      <c r="S75" s="4">
        <v>770001</v>
      </c>
      <c r="T75" s="4">
        <v>77402110522</v>
      </c>
      <c r="U75" s="4">
        <v>0</v>
      </c>
      <c r="V75" s="4">
        <v>0</v>
      </c>
      <c r="W75" s="4">
        <v>0</v>
      </c>
      <c r="X75" s="4">
        <v>0</v>
      </c>
      <c r="Y75" s="4">
        <v>3387.02</v>
      </c>
      <c r="Z75" s="4">
        <v>3387.02</v>
      </c>
      <c r="AA75" s="4" t="s">
        <v>35</v>
      </c>
    </row>
    <row r="76" spans="1:27" s="4" customFormat="1" x14ac:dyDescent="0.3">
      <c r="A76" s="4" t="s">
        <v>29</v>
      </c>
      <c r="B76" s="4">
        <v>39916431</v>
      </c>
      <c r="C76" s="4">
        <v>39916431</v>
      </c>
      <c r="D76" s="4" t="s">
        <v>175</v>
      </c>
      <c r="E76" s="4" t="s">
        <v>176</v>
      </c>
      <c r="F76" s="4" t="s">
        <v>177</v>
      </c>
      <c r="G76" s="5">
        <v>30759</v>
      </c>
      <c r="H76" s="4">
        <f>DAY(G76)</f>
        <v>18</v>
      </c>
      <c r="I76" s="4">
        <f>MONTH(G76)</f>
        <v>3</v>
      </c>
      <c r="J76" s="4">
        <f>YEAR(G76)</f>
        <v>1984</v>
      </c>
      <c r="K76" s="6">
        <v>8403186100135</v>
      </c>
      <c r="L76" s="5">
        <v>44440</v>
      </c>
      <c r="M76" s="5">
        <v>45474</v>
      </c>
      <c r="N76" s="5">
        <v>45838</v>
      </c>
      <c r="O76" s="4">
        <v>1674.11</v>
      </c>
      <c r="P76" s="4">
        <v>1</v>
      </c>
      <c r="Q76" s="4" t="s">
        <v>33</v>
      </c>
      <c r="R76" s="4" t="s">
        <v>34</v>
      </c>
      <c r="S76" s="4">
        <v>770001</v>
      </c>
      <c r="T76" s="4">
        <v>77400685897</v>
      </c>
      <c r="U76" s="4">
        <v>0</v>
      </c>
      <c r="V76" s="4">
        <v>0</v>
      </c>
      <c r="W76" s="4">
        <v>0</v>
      </c>
      <c r="X76" s="4">
        <v>0</v>
      </c>
      <c r="Y76" s="4">
        <v>1674.11</v>
      </c>
      <c r="Z76" s="4">
        <v>1674.11</v>
      </c>
      <c r="AA76" s="4" t="s">
        <v>35</v>
      </c>
    </row>
    <row r="77" spans="1:27" s="4" customFormat="1" x14ac:dyDescent="0.3">
      <c r="A77" s="4" t="s">
        <v>29</v>
      </c>
      <c r="B77" s="4">
        <v>39921583</v>
      </c>
      <c r="C77" s="4">
        <v>39921583</v>
      </c>
      <c r="D77" s="4" t="s">
        <v>39</v>
      </c>
      <c r="E77" s="4" t="s">
        <v>100</v>
      </c>
      <c r="F77" s="4" t="s">
        <v>178</v>
      </c>
      <c r="G77" s="5">
        <v>29290</v>
      </c>
      <c r="H77" s="4">
        <f>DAY(G77)</f>
        <v>10</v>
      </c>
      <c r="I77" s="4">
        <f>MONTH(G77)</f>
        <v>3</v>
      </c>
      <c r="J77" s="4">
        <f>YEAR(G77)</f>
        <v>1980</v>
      </c>
      <c r="K77" s="6">
        <v>8003101100069</v>
      </c>
      <c r="L77" s="5">
        <v>40909</v>
      </c>
      <c r="M77" s="5">
        <v>45474</v>
      </c>
      <c r="N77" s="5">
        <v>45838</v>
      </c>
      <c r="O77" s="4">
        <v>1851.65</v>
      </c>
      <c r="P77" s="4">
        <v>1</v>
      </c>
      <c r="Q77" s="4" t="s">
        <v>33</v>
      </c>
      <c r="R77" s="4" t="s">
        <v>34</v>
      </c>
      <c r="S77" s="4">
        <v>90001</v>
      </c>
      <c r="T77" s="4">
        <v>51000025325</v>
      </c>
      <c r="U77" s="4">
        <v>0</v>
      </c>
      <c r="V77" s="4">
        <v>0</v>
      </c>
      <c r="W77" s="4">
        <v>0</v>
      </c>
      <c r="X77" s="4">
        <v>0</v>
      </c>
      <c r="Y77" s="4">
        <v>1851.65</v>
      </c>
      <c r="Z77" s="4">
        <v>1851.65</v>
      </c>
      <c r="AA77" s="4" t="s">
        <v>35</v>
      </c>
    </row>
    <row r="78" spans="1:27" s="4" customFormat="1" x14ac:dyDescent="0.3">
      <c r="A78" s="4" t="s">
        <v>29</v>
      </c>
      <c r="B78" s="4">
        <v>39976181</v>
      </c>
      <c r="C78" s="4">
        <v>39976181</v>
      </c>
      <c r="D78" s="4" t="s">
        <v>179</v>
      </c>
      <c r="E78" s="4" t="s">
        <v>180</v>
      </c>
      <c r="F78" s="4" t="s">
        <v>181</v>
      </c>
      <c r="G78" s="5">
        <v>26020</v>
      </c>
      <c r="H78" s="4">
        <f>DAY(G78)</f>
        <v>28</v>
      </c>
      <c r="I78" s="4">
        <f>MONTH(G78)</f>
        <v>3</v>
      </c>
      <c r="J78" s="4">
        <f>YEAR(G78)</f>
        <v>1971</v>
      </c>
      <c r="K78" s="6">
        <v>7103271100021</v>
      </c>
      <c r="L78" s="5">
        <v>45627</v>
      </c>
      <c r="M78" s="5">
        <v>45627</v>
      </c>
      <c r="N78" s="5">
        <v>45838</v>
      </c>
      <c r="O78" s="4">
        <v>1500</v>
      </c>
      <c r="P78" s="4">
        <v>1</v>
      </c>
      <c r="Q78" s="4" t="s">
        <v>33</v>
      </c>
      <c r="R78" s="4" t="s">
        <v>34</v>
      </c>
      <c r="S78" s="4">
        <v>90001</v>
      </c>
      <c r="T78" s="4">
        <v>51001416662</v>
      </c>
      <c r="U78" s="4">
        <v>0</v>
      </c>
      <c r="V78" s="4">
        <v>0</v>
      </c>
      <c r="W78" s="4">
        <v>0</v>
      </c>
      <c r="X78" s="4">
        <v>0</v>
      </c>
      <c r="Y78" s="4">
        <v>1500</v>
      </c>
      <c r="Z78" s="4">
        <v>1500</v>
      </c>
      <c r="AA78" s="4" t="s">
        <v>35</v>
      </c>
    </row>
    <row r="79" spans="1:27" s="4" customFormat="1" x14ac:dyDescent="0.3">
      <c r="A79" s="4" t="s">
        <v>29</v>
      </c>
      <c r="B79" s="4">
        <v>4003919</v>
      </c>
      <c r="C79" s="4">
        <v>4003919</v>
      </c>
      <c r="D79" s="4" t="s">
        <v>66</v>
      </c>
      <c r="E79" s="4" t="s">
        <v>72</v>
      </c>
      <c r="F79" s="4" t="s">
        <v>182</v>
      </c>
      <c r="G79" s="5">
        <v>17971</v>
      </c>
      <c r="H79" s="4">
        <f>DAY(G79)</f>
        <v>14</v>
      </c>
      <c r="I79" s="4">
        <f>MONTH(G79)</f>
        <v>3</v>
      </c>
      <c r="J79" s="4">
        <f>YEAR(G79)</f>
        <v>1949</v>
      </c>
      <c r="K79" s="6">
        <v>4603136100028</v>
      </c>
      <c r="L79" s="5">
        <v>39904</v>
      </c>
      <c r="M79" s="5">
        <v>45474</v>
      </c>
      <c r="N79" s="5">
        <v>45838</v>
      </c>
      <c r="O79" s="4">
        <v>14205.89</v>
      </c>
      <c r="P79" s="4">
        <v>1</v>
      </c>
      <c r="Q79" s="4" t="s">
        <v>33</v>
      </c>
      <c r="R79" s="4" t="s">
        <v>34</v>
      </c>
      <c r="S79" s="4">
        <v>660564</v>
      </c>
      <c r="T79" s="4">
        <v>9110002414670</v>
      </c>
      <c r="U79" s="4">
        <v>0</v>
      </c>
      <c r="V79" s="4">
        <v>0</v>
      </c>
      <c r="W79" s="4">
        <v>0</v>
      </c>
      <c r="X79" s="4">
        <v>2311.7600000000002</v>
      </c>
      <c r="Y79" s="4">
        <v>14205.89</v>
      </c>
      <c r="Z79" s="4">
        <v>11894.13</v>
      </c>
      <c r="AA79" s="4" t="s">
        <v>35</v>
      </c>
    </row>
    <row r="80" spans="1:27" s="4" customFormat="1" x14ac:dyDescent="0.3">
      <c r="A80" s="4" t="s">
        <v>29</v>
      </c>
      <c r="B80" s="4">
        <v>4054719</v>
      </c>
      <c r="C80" s="4">
        <v>4054719</v>
      </c>
      <c r="D80" s="4" t="s">
        <v>183</v>
      </c>
      <c r="E80" s="4" t="s">
        <v>64</v>
      </c>
      <c r="F80" s="4" t="s">
        <v>184</v>
      </c>
      <c r="G80" s="5">
        <v>18328</v>
      </c>
      <c r="H80" s="4">
        <f>DAY(G80)</f>
        <v>6</v>
      </c>
      <c r="I80" s="4">
        <f>MONTH(G80)</f>
        <v>3</v>
      </c>
      <c r="J80" s="4">
        <f>YEAR(G80)</f>
        <v>1950</v>
      </c>
      <c r="K80" s="6">
        <v>5003066100040</v>
      </c>
      <c r="L80" s="5">
        <v>40269</v>
      </c>
      <c r="M80" s="5">
        <v>45474</v>
      </c>
      <c r="N80" s="5">
        <v>45838</v>
      </c>
      <c r="O80" s="4">
        <v>35413.18</v>
      </c>
      <c r="P80" s="4">
        <v>1</v>
      </c>
      <c r="Q80" s="4" t="s">
        <v>33</v>
      </c>
      <c r="R80" s="4" t="s">
        <v>34</v>
      </c>
      <c r="S80" s="4">
        <v>660564</v>
      </c>
      <c r="T80" s="4">
        <v>9110003548689</v>
      </c>
      <c r="U80" s="4">
        <v>0</v>
      </c>
      <c r="V80" s="4">
        <v>0</v>
      </c>
      <c r="W80" s="4">
        <v>0</v>
      </c>
      <c r="X80" s="4">
        <v>9236.34</v>
      </c>
      <c r="Y80" s="4">
        <v>35413.18</v>
      </c>
      <c r="Z80" s="4">
        <v>26176.84</v>
      </c>
      <c r="AA80" s="4" t="s">
        <v>35</v>
      </c>
    </row>
    <row r="81" spans="1:29" s="4" customFormat="1" x14ac:dyDescent="0.3">
      <c r="A81" s="4" t="s">
        <v>29</v>
      </c>
      <c r="B81" s="4">
        <v>4072186</v>
      </c>
      <c r="C81" s="4">
        <v>4072186</v>
      </c>
      <c r="D81" s="4" t="s">
        <v>185</v>
      </c>
      <c r="E81" s="4" t="s">
        <v>37</v>
      </c>
      <c r="F81" s="4" t="s">
        <v>186</v>
      </c>
      <c r="G81" s="5">
        <v>19428</v>
      </c>
      <c r="H81" s="4">
        <f>DAY(G81)</f>
        <v>10</v>
      </c>
      <c r="I81" s="4">
        <f>MONTH(G81)</f>
        <v>3</v>
      </c>
      <c r="J81" s="4">
        <f>YEAR(G81)</f>
        <v>1953</v>
      </c>
      <c r="K81" s="6">
        <v>5303106100285</v>
      </c>
      <c r="L81" s="5">
        <v>41365</v>
      </c>
      <c r="M81" s="5">
        <v>45444</v>
      </c>
      <c r="N81" s="5">
        <v>45838</v>
      </c>
      <c r="O81" s="4">
        <v>1833.17</v>
      </c>
      <c r="P81" s="4">
        <v>1</v>
      </c>
      <c r="Q81" s="4" t="s">
        <v>33</v>
      </c>
      <c r="R81" s="4" t="s">
        <v>34</v>
      </c>
      <c r="S81" s="4">
        <v>90001</v>
      </c>
      <c r="T81" s="4">
        <v>51000597566</v>
      </c>
      <c r="U81" s="4">
        <v>0</v>
      </c>
      <c r="V81" s="4">
        <v>0</v>
      </c>
      <c r="W81" s="4">
        <v>0</v>
      </c>
      <c r="X81" s="4">
        <v>0</v>
      </c>
      <c r="Y81" s="4">
        <v>1833.17</v>
      </c>
      <c r="Z81" s="4">
        <v>1833.17</v>
      </c>
      <c r="AA81" s="4" t="s">
        <v>35</v>
      </c>
    </row>
    <row r="82" spans="1:29" s="4" customFormat="1" x14ac:dyDescent="0.3">
      <c r="A82" s="4" t="s">
        <v>29</v>
      </c>
      <c r="B82" s="4">
        <v>4216805</v>
      </c>
      <c r="C82" s="4">
        <v>4216805</v>
      </c>
      <c r="D82" s="4" t="s">
        <v>187</v>
      </c>
      <c r="E82" s="4" t="s">
        <v>87</v>
      </c>
      <c r="F82" s="4" t="s">
        <v>188</v>
      </c>
      <c r="G82" s="5">
        <v>20160</v>
      </c>
      <c r="H82" s="4">
        <f>DAY(G82)</f>
        <v>12</v>
      </c>
      <c r="I82" s="4">
        <f>MONTH(G82)</f>
        <v>3</v>
      </c>
      <c r="J82" s="4">
        <f>YEAR(G82)</f>
        <v>1955</v>
      </c>
      <c r="K82" s="6">
        <v>5503121100018</v>
      </c>
      <c r="L82" s="5">
        <v>42095</v>
      </c>
      <c r="M82" s="5">
        <v>45474</v>
      </c>
      <c r="N82" s="5">
        <v>45838</v>
      </c>
      <c r="O82" s="4">
        <v>8231.48</v>
      </c>
      <c r="P82" s="4">
        <v>1</v>
      </c>
      <c r="Q82" s="4" t="s">
        <v>33</v>
      </c>
      <c r="R82" s="4" t="s">
        <v>34</v>
      </c>
      <c r="S82" s="4">
        <v>661264</v>
      </c>
      <c r="T82" s="4">
        <v>9110000310487</v>
      </c>
      <c r="U82" s="4">
        <v>0</v>
      </c>
      <c r="V82" s="4">
        <v>0</v>
      </c>
      <c r="W82" s="4">
        <v>0</v>
      </c>
      <c r="X82" s="4">
        <v>737.96</v>
      </c>
      <c r="Y82" s="4">
        <v>8231.48</v>
      </c>
      <c r="Z82" s="4">
        <v>7493.52</v>
      </c>
      <c r="AA82" s="4" t="s">
        <v>35</v>
      </c>
    </row>
    <row r="83" spans="1:29" s="4" customFormat="1" x14ac:dyDescent="0.3">
      <c r="A83" s="4" t="s">
        <v>29</v>
      </c>
      <c r="B83" s="4">
        <v>4293062</v>
      </c>
      <c r="C83" s="4">
        <v>4293062</v>
      </c>
      <c r="D83" s="4" t="s">
        <v>189</v>
      </c>
      <c r="E83" s="4" t="s">
        <v>72</v>
      </c>
      <c r="F83" s="4" t="s">
        <v>190</v>
      </c>
      <c r="G83" s="5">
        <v>21247</v>
      </c>
      <c r="H83" s="4">
        <f>DAY(G83)</f>
        <v>3</v>
      </c>
      <c r="I83" s="4">
        <f>MONTH(G83)</f>
        <v>3</v>
      </c>
      <c r="J83" s="4">
        <f>YEAR(G83)</f>
        <v>1958</v>
      </c>
      <c r="K83" s="6">
        <v>5803031100102</v>
      </c>
      <c r="L83" s="5">
        <v>43191</v>
      </c>
      <c r="M83" s="5">
        <v>45474</v>
      </c>
      <c r="N83" s="5">
        <v>45838</v>
      </c>
      <c r="O83" s="4">
        <v>5295.71</v>
      </c>
      <c r="P83" s="4">
        <v>1</v>
      </c>
      <c r="Q83" s="4" t="s">
        <v>33</v>
      </c>
      <c r="R83" s="4" t="s">
        <v>34</v>
      </c>
      <c r="S83" s="4">
        <v>90001</v>
      </c>
      <c r="T83" s="4">
        <v>51000560131</v>
      </c>
      <c r="U83" s="4">
        <v>0</v>
      </c>
      <c r="V83" s="4">
        <v>0</v>
      </c>
      <c r="W83" s="4">
        <v>0</v>
      </c>
      <c r="X83" s="4">
        <v>150.80000000000001</v>
      </c>
      <c r="Y83" s="4">
        <v>5295.71</v>
      </c>
      <c r="Z83" s="4">
        <v>5144.91</v>
      </c>
      <c r="AA83" s="4" t="s">
        <v>35</v>
      </c>
    </row>
    <row r="84" spans="1:29" s="4" customFormat="1" x14ac:dyDescent="0.3">
      <c r="A84" s="4" t="s">
        <v>29</v>
      </c>
      <c r="B84" s="4">
        <v>4293615</v>
      </c>
      <c r="C84" s="4">
        <v>4293615</v>
      </c>
      <c r="D84" s="4" t="s">
        <v>149</v>
      </c>
      <c r="E84" s="4" t="s">
        <v>64</v>
      </c>
      <c r="F84" s="4" t="s">
        <v>191</v>
      </c>
      <c r="G84" s="5">
        <v>21978</v>
      </c>
      <c r="H84" s="4">
        <f>DAY(G84)</f>
        <v>3</v>
      </c>
      <c r="I84" s="4">
        <f>MONTH(G84)</f>
        <v>3</v>
      </c>
      <c r="J84" s="4">
        <f>YEAR(G84)</f>
        <v>1960</v>
      </c>
      <c r="K84" s="6">
        <v>6003036100012</v>
      </c>
      <c r="L84" s="5">
        <v>43922</v>
      </c>
      <c r="M84" s="5">
        <v>45474</v>
      </c>
      <c r="N84" s="5">
        <v>45838</v>
      </c>
      <c r="O84" s="4">
        <v>20526.84</v>
      </c>
      <c r="P84" s="4">
        <v>1</v>
      </c>
      <c r="Q84" s="4" t="s">
        <v>33</v>
      </c>
      <c r="R84" s="4" t="s">
        <v>34</v>
      </c>
      <c r="S84" s="4">
        <v>770002</v>
      </c>
      <c r="T84" s="4">
        <v>77400070795</v>
      </c>
      <c r="U84" s="4">
        <v>0</v>
      </c>
      <c r="V84" s="4">
        <v>0</v>
      </c>
      <c r="W84" s="4">
        <v>0</v>
      </c>
      <c r="X84" s="4">
        <v>4323.8500000000004</v>
      </c>
      <c r="Y84" s="4">
        <v>20526.84</v>
      </c>
      <c r="Z84" s="4">
        <v>16202.99</v>
      </c>
      <c r="AA84" s="4" t="s">
        <v>35</v>
      </c>
    </row>
    <row r="85" spans="1:29" s="4" customFormat="1" x14ac:dyDescent="0.3">
      <c r="A85" s="4" t="s">
        <v>29</v>
      </c>
      <c r="B85" s="4">
        <v>4312815</v>
      </c>
      <c r="C85" s="4">
        <v>4312815</v>
      </c>
      <c r="D85" s="4" t="s">
        <v>192</v>
      </c>
      <c r="E85" s="4" t="s">
        <v>31</v>
      </c>
      <c r="F85" s="4" t="s">
        <v>193</v>
      </c>
      <c r="G85" s="5">
        <v>22712</v>
      </c>
      <c r="H85" s="4">
        <f>DAY(G85)</f>
        <v>7</v>
      </c>
      <c r="I85" s="4">
        <f>MONTH(G85)</f>
        <v>3</v>
      </c>
      <c r="J85" s="4">
        <f>YEAR(G85)</f>
        <v>1962</v>
      </c>
      <c r="K85" s="6">
        <v>6203076100076</v>
      </c>
      <c r="L85" s="5">
        <v>44652</v>
      </c>
      <c r="M85" s="5">
        <v>45474</v>
      </c>
      <c r="N85" s="5">
        <v>45838</v>
      </c>
      <c r="O85" s="4">
        <v>26783.23</v>
      </c>
      <c r="P85" s="4">
        <v>1</v>
      </c>
      <c r="Q85" s="4" t="s">
        <v>33</v>
      </c>
      <c r="R85" s="4" t="s">
        <v>34</v>
      </c>
      <c r="S85" s="4">
        <v>360264</v>
      </c>
      <c r="T85" s="4">
        <v>40000004806</v>
      </c>
      <c r="U85" s="4">
        <v>0</v>
      </c>
      <c r="V85" s="4">
        <v>0</v>
      </c>
      <c r="W85" s="4">
        <v>0</v>
      </c>
      <c r="X85" s="4">
        <v>6388.46</v>
      </c>
      <c r="Y85" s="4">
        <v>26783.23</v>
      </c>
      <c r="Z85" s="4">
        <v>20394.77</v>
      </c>
      <c r="AA85" s="4" t="s">
        <v>35</v>
      </c>
    </row>
    <row r="86" spans="1:29" s="4" customFormat="1" x14ac:dyDescent="0.3">
      <c r="A86" s="4" t="s">
        <v>29</v>
      </c>
      <c r="B86" s="4">
        <v>4326289</v>
      </c>
      <c r="C86" s="4">
        <v>4326289</v>
      </c>
      <c r="D86" s="4" t="s">
        <v>194</v>
      </c>
      <c r="E86" s="4" t="s">
        <v>195</v>
      </c>
      <c r="F86" s="4" t="s">
        <v>196</v>
      </c>
      <c r="G86" s="5">
        <v>22343</v>
      </c>
      <c r="H86" s="4">
        <f>DAY(G86)</f>
        <v>3</v>
      </c>
      <c r="I86" s="4">
        <f>MONTH(G86)</f>
        <v>3</v>
      </c>
      <c r="J86" s="4">
        <f>YEAR(G86)</f>
        <v>1961</v>
      </c>
      <c r="K86" s="6">
        <v>6103036100093</v>
      </c>
      <c r="L86" s="5">
        <v>41791</v>
      </c>
      <c r="M86" s="5">
        <v>45444</v>
      </c>
      <c r="N86" s="5">
        <v>45838</v>
      </c>
      <c r="O86" s="4">
        <v>5828.29</v>
      </c>
      <c r="P86" s="4">
        <v>1</v>
      </c>
      <c r="Q86" s="4" t="s">
        <v>33</v>
      </c>
      <c r="R86" s="4" t="s">
        <v>34</v>
      </c>
      <c r="S86" s="4">
        <v>90001</v>
      </c>
      <c r="T86" s="4">
        <v>51000582992</v>
      </c>
      <c r="U86" s="4">
        <v>0</v>
      </c>
      <c r="V86" s="4">
        <v>0</v>
      </c>
      <c r="W86" s="4">
        <v>0</v>
      </c>
      <c r="X86" s="4">
        <v>257.32</v>
      </c>
      <c r="Y86" s="4">
        <v>5828.29</v>
      </c>
      <c r="Z86" s="4">
        <v>5570.97</v>
      </c>
      <c r="AA86" s="4" t="s">
        <v>35</v>
      </c>
      <c r="AC86" s="4" t="s">
        <v>197</v>
      </c>
    </row>
    <row r="87" spans="1:29" s="4" customFormat="1" x14ac:dyDescent="0.3">
      <c r="A87" s="4" t="s">
        <v>29</v>
      </c>
      <c r="B87" s="4">
        <v>4357074</v>
      </c>
      <c r="C87" s="4">
        <v>4357074</v>
      </c>
      <c r="D87" s="4" t="s">
        <v>39</v>
      </c>
      <c r="E87" s="4" t="s">
        <v>31</v>
      </c>
      <c r="F87" s="4" t="s">
        <v>198</v>
      </c>
      <c r="G87" s="5">
        <v>22000</v>
      </c>
      <c r="H87" s="4">
        <f>DAY(G87)</f>
        <v>25</v>
      </c>
      <c r="I87" s="4">
        <f>MONTH(G87)</f>
        <v>3</v>
      </c>
      <c r="J87" s="4">
        <f>YEAR(G87)</f>
        <v>1960</v>
      </c>
      <c r="K87" s="6">
        <v>326001004357074</v>
      </c>
      <c r="L87" s="5">
        <v>43922</v>
      </c>
      <c r="M87" s="5">
        <v>45474</v>
      </c>
      <c r="N87" s="5">
        <v>45838</v>
      </c>
      <c r="O87" s="4">
        <v>5818.83</v>
      </c>
      <c r="P87" s="4">
        <v>1</v>
      </c>
      <c r="Q87" s="4" t="s">
        <v>33</v>
      </c>
      <c r="R87" s="4" t="s">
        <v>34</v>
      </c>
      <c r="S87" s="4">
        <v>660564</v>
      </c>
      <c r="T87" s="4">
        <v>9110003870246</v>
      </c>
      <c r="U87" s="4">
        <v>0</v>
      </c>
      <c r="V87" s="4">
        <v>0</v>
      </c>
      <c r="W87" s="4">
        <v>0</v>
      </c>
      <c r="X87" s="4">
        <v>255.43</v>
      </c>
      <c r="Y87" s="4">
        <v>5818.83</v>
      </c>
      <c r="Z87" s="4">
        <v>5563.4</v>
      </c>
      <c r="AA87" s="4" t="s">
        <v>35</v>
      </c>
    </row>
    <row r="88" spans="1:29" s="4" customFormat="1" x14ac:dyDescent="0.3">
      <c r="A88" s="4" t="s">
        <v>29</v>
      </c>
      <c r="B88" s="4">
        <v>4364599</v>
      </c>
      <c r="C88" s="4">
        <v>4364599</v>
      </c>
      <c r="D88" s="4" t="s">
        <v>66</v>
      </c>
      <c r="E88" s="4" t="s">
        <v>100</v>
      </c>
      <c r="F88" s="4" t="s">
        <v>80</v>
      </c>
      <c r="G88" s="5">
        <v>21268</v>
      </c>
      <c r="H88" s="4">
        <f>DAY(G88)</f>
        <v>24</v>
      </c>
      <c r="I88" s="4">
        <f>MONTH(G88)</f>
        <v>3</v>
      </c>
      <c r="J88" s="4">
        <f>YEAR(G88)</f>
        <v>1958</v>
      </c>
      <c r="K88" s="6">
        <v>5803236100071</v>
      </c>
      <c r="L88" s="5">
        <v>43191</v>
      </c>
      <c r="M88" s="5">
        <v>45474</v>
      </c>
      <c r="N88" s="5">
        <v>45838</v>
      </c>
      <c r="O88" s="4">
        <v>3789.15</v>
      </c>
      <c r="P88" s="4">
        <v>1</v>
      </c>
      <c r="Q88" s="4" t="s">
        <v>33</v>
      </c>
      <c r="R88" s="4" t="s">
        <v>34</v>
      </c>
      <c r="S88" s="4">
        <v>770004</v>
      </c>
      <c r="T88" s="4">
        <v>77024481610</v>
      </c>
      <c r="U88" s="4">
        <v>0</v>
      </c>
      <c r="V88" s="4">
        <v>0</v>
      </c>
      <c r="W88" s="4">
        <v>0</v>
      </c>
      <c r="X88" s="4">
        <v>0</v>
      </c>
      <c r="Y88" s="4">
        <v>3789.15</v>
      </c>
      <c r="Z88" s="4">
        <v>3789.15</v>
      </c>
      <c r="AA88" s="4" t="s">
        <v>35</v>
      </c>
    </row>
    <row r="89" spans="1:29" s="4" customFormat="1" x14ac:dyDescent="0.3">
      <c r="A89" s="4" t="s">
        <v>29</v>
      </c>
      <c r="B89" s="4">
        <v>4432195</v>
      </c>
      <c r="C89" s="4">
        <v>4432195</v>
      </c>
      <c r="D89" s="4" t="s">
        <v>199</v>
      </c>
      <c r="E89" s="4" t="s">
        <v>79</v>
      </c>
      <c r="F89" s="4" t="s">
        <v>174</v>
      </c>
      <c r="G89" s="5">
        <v>21266</v>
      </c>
      <c r="H89" s="4">
        <f>DAY(G89)</f>
        <v>22</v>
      </c>
      <c r="I89" s="4">
        <f>MONTH(G89)</f>
        <v>3</v>
      </c>
      <c r="J89" s="4">
        <f>YEAR(G89)</f>
        <v>1958</v>
      </c>
      <c r="K89" s="6">
        <v>5803221100060</v>
      </c>
      <c r="L89" s="5">
        <v>43191</v>
      </c>
      <c r="M89" s="5">
        <v>45474</v>
      </c>
      <c r="N89" s="5">
        <v>45838</v>
      </c>
      <c r="O89" s="4">
        <v>1560.63</v>
      </c>
      <c r="P89" s="4">
        <v>1</v>
      </c>
      <c r="Q89" s="4" t="s">
        <v>33</v>
      </c>
      <c r="R89" s="4" t="s">
        <v>34</v>
      </c>
      <c r="S89" s="4">
        <v>660464</v>
      </c>
      <c r="T89" s="4">
        <v>9110004091682</v>
      </c>
      <c r="U89" s="4">
        <v>0</v>
      </c>
      <c r="V89" s="4">
        <v>0</v>
      </c>
      <c r="W89" s="4">
        <v>0</v>
      </c>
      <c r="X89" s="4">
        <v>0</v>
      </c>
      <c r="Y89" s="4">
        <v>1560.63</v>
      </c>
      <c r="Z89" s="4">
        <v>1560.63</v>
      </c>
      <c r="AA89" s="4" t="s">
        <v>35</v>
      </c>
    </row>
    <row r="90" spans="1:29" s="4" customFormat="1" x14ac:dyDescent="0.3">
      <c r="A90" s="4" t="s">
        <v>29</v>
      </c>
      <c r="B90" s="4">
        <v>4439893</v>
      </c>
      <c r="C90" s="4">
        <v>4439893</v>
      </c>
      <c r="D90" s="4" t="s">
        <v>54</v>
      </c>
      <c r="E90" s="4" t="s">
        <v>72</v>
      </c>
      <c r="F90" s="4" t="s">
        <v>200</v>
      </c>
      <c r="G90" s="5">
        <v>23810</v>
      </c>
      <c r="H90" s="4">
        <f>DAY(G90)</f>
        <v>9</v>
      </c>
      <c r="I90" s="4">
        <f>MONTH(G90)</f>
        <v>3</v>
      </c>
      <c r="J90" s="4">
        <f>YEAR(G90)</f>
        <v>1965</v>
      </c>
      <c r="K90" s="6">
        <v>6503096100091</v>
      </c>
      <c r="L90" s="5">
        <v>45748</v>
      </c>
      <c r="M90" s="5">
        <v>45748</v>
      </c>
      <c r="N90" s="5">
        <v>45838</v>
      </c>
      <c r="O90" s="4">
        <v>7416.91</v>
      </c>
      <c r="P90" s="4">
        <v>1</v>
      </c>
      <c r="Q90" s="4" t="s">
        <v>33</v>
      </c>
      <c r="R90" s="4" t="s">
        <v>34</v>
      </c>
      <c r="S90" s="4">
        <v>90001</v>
      </c>
      <c r="T90" s="4">
        <v>51001626543</v>
      </c>
      <c r="U90" s="4">
        <v>0</v>
      </c>
      <c r="V90" s="4">
        <v>0</v>
      </c>
      <c r="W90" s="4">
        <v>0</v>
      </c>
      <c r="X90" s="4">
        <v>575.04</v>
      </c>
      <c r="Y90" s="4">
        <v>7416.91</v>
      </c>
      <c r="Z90" s="4">
        <v>6841.87</v>
      </c>
      <c r="AA90" s="4" t="s">
        <v>35</v>
      </c>
    </row>
    <row r="91" spans="1:29" s="4" customFormat="1" x14ac:dyDescent="0.3">
      <c r="A91" s="4" t="s">
        <v>29</v>
      </c>
      <c r="B91" s="4">
        <v>4472555</v>
      </c>
      <c r="C91" s="4">
        <v>4472555</v>
      </c>
      <c r="D91" s="4" t="s">
        <v>201</v>
      </c>
      <c r="E91" s="4" t="s">
        <v>202</v>
      </c>
      <c r="F91" s="4" t="s">
        <v>203</v>
      </c>
      <c r="G91" s="5">
        <v>23450</v>
      </c>
      <c r="H91" s="4">
        <f>DAY(G91)</f>
        <v>14</v>
      </c>
      <c r="I91" s="4">
        <f>MONTH(G91)</f>
        <v>3</v>
      </c>
      <c r="J91" s="4">
        <f>YEAR(G91)</f>
        <v>1964</v>
      </c>
      <c r="K91" s="6">
        <v>6403146100144</v>
      </c>
      <c r="L91" s="5">
        <v>45383</v>
      </c>
      <c r="M91" s="5">
        <v>45474</v>
      </c>
      <c r="N91" s="5">
        <v>45838</v>
      </c>
      <c r="O91" s="4">
        <v>1568.13</v>
      </c>
      <c r="P91" s="4">
        <v>1</v>
      </c>
      <c r="Q91" s="4" t="s">
        <v>33</v>
      </c>
      <c r="R91" s="4" t="s">
        <v>34</v>
      </c>
      <c r="S91" s="4">
        <v>770002</v>
      </c>
      <c r="T91" s="4">
        <v>77400409482</v>
      </c>
      <c r="U91" s="4">
        <v>0</v>
      </c>
      <c r="V91" s="4">
        <v>0</v>
      </c>
      <c r="W91" s="4">
        <v>0</v>
      </c>
      <c r="X91" s="4">
        <v>0</v>
      </c>
      <c r="Y91" s="4">
        <v>1568.13</v>
      </c>
      <c r="Z91" s="4">
        <v>1568.13</v>
      </c>
      <c r="AA91" s="4" t="s">
        <v>35</v>
      </c>
    </row>
    <row r="92" spans="1:29" s="4" customFormat="1" x14ac:dyDescent="0.3">
      <c r="A92" s="4" t="s">
        <v>29</v>
      </c>
      <c r="B92" s="4">
        <v>4487975</v>
      </c>
      <c r="C92" s="4">
        <v>4487975</v>
      </c>
      <c r="D92" s="4" t="s">
        <v>66</v>
      </c>
      <c r="E92" s="4" t="s">
        <v>37</v>
      </c>
      <c r="F92" s="4" t="s">
        <v>204</v>
      </c>
      <c r="G92" s="5">
        <v>23804</v>
      </c>
      <c r="H92" s="4">
        <f>DAY(G92)</f>
        <v>3</v>
      </c>
      <c r="I92" s="4">
        <f>MONTH(G92)</f>
        <v>3</v>
      </c>
      <c r="J92" s="4">
        <f>YEAR(G92)</f>
        <v>1965</v>
      </c>
      <c r="K92" s="6">
        <v>6503036100201</v>
      </c>
      <c r="L92" s="5">
        <v>45748</v>
      </c>
      <c r="M92" s="5">
        <v>45748</v>
      </c>
      <c r="N92" s="5">
        <v>45838</v>
      </c>
      <c r="O92" s="4">
        <v>9859.75</v>
      </c>
      <c r="P92" s="4">
        <v>1</v>
      </c>
      <c r="Q92" s="4" t="s">
        <v>33</v>
      </c>
      <c r="R92" s="4" t="s">
        <v>34</v>
      </c>
      <c r="S92" s="4">
        <v>282064</v>
      </c>
      <c r="T92" s="4">
        <v>57730029008</v>
      </c>
      <c r="U92" s="4">
        <v>0</v>
      </c>
      <c r="V92" s="4">
        <v>0</v>
      </c>
      <c r="W92" s="4">
        <v>0</v>
      </c>
      <c r="X92" s="4">
        <v>1139.93</v>
      </c>
      <c r="Y92" s="4">
        <v>9859.75</v>
      </c>
      <c r="Z92" s="4">
        <v>8719.82</v>
      </c>
      <c r="AA92" s="4" t="s">
        <v>35</v>
      </c>
    </row>
    <row r="93" spans="1:29" s="4" customFormat="1" x14ac:dyDescent="0.3">
      <c r="A93" s="4" t="s">
        <v>29</v>
      </c>
      <c r="B93" s="4">
        <v>4515520</v>
      </c>
      <c r="C93" s="4">
        <v>4515520</v>
      </c>
      <c r="D93" s="4" t="s">
        <v>205</v>
      </c>
      <c r="E93" s="4" t="s">
        <v>37</v>
      </c>
      <c r="F93" s="4" t="s">
        <v>206</v>
      </c>
      <c r="G93" s="5">
        <v>23463</v>
      </c>
      <c r="H93" s="4">
        <f>DAY(G93)</f>
        <v>27</v>
      </c>
      <c r="I93" s="4">
        <f>MONTH(G93)</f>
        <v>3</v>
      </c>
      <c r="J93" s="4">
        <f>YEAR(G93)</f>
        <v>1964</v>
      </c>
      <c r="K93" s="6">
        <v>6503271100015</v>
      </c>
      <c r="L93" s="5">
        <v>40725</v>
      </c>
      <c r="M93" s="5">
        <v>45474</v>
      </c>
      <c r="N93" s="5">
        <v>45838</v>
      </c>
      <c r="O93" s="4">
        <v>2871.61</v>
      </c>
      <c r="P93" s="4">
        <v>1</v>
      </c>
      <c r="Q93" s="4" t="s">
        <v>33</v>
      </c>
      <c r="R93" s="4" t="s">
        <v>34</v>
      </c>
      <c r="S93" s="4">
        <v>660564</v>
      </c>
      <c r="T93" s="4">
        <v>9110002628786</v>
      </c>
      <c r="U93" s="4">
        <v>0</v>
      </c>
      <c r="V93" s="4">
        <v>0</v>
      </c>
      <c r="W93" s="4">
        <v>0</v>
      </c>
      <c r="X93" s="4">
        <v>0</v>
      </c>
      <c r="Y93" s="4">
        <v>2871.61</v>
      </c>
      <c r="Z93" s="4">
        <v>2871.61</v>
      </c>
      <c r="AA93" s="4" t="s">
        <v>35</v>
      </c>
    </row>
    <row r="94" spans="1:29" s="4" customFormat="1" x14ac:dyDescent="0.3">
      <c r="A94" s="4" t="s">
        <v>29</v>
      </c>
      <c r="B94" s="4">
        <v>4517649</v>
      </c>
      <c r="C94" s="4">
        <v>4517649</v>
      </c>
      <c r="D94" s="4" t="s">
        <v>66</v>
      </c>
      <c r="E94" s="4" t="s">
        <v>72</v>
      </c>
      <c r="F94" s="4" t="s">
        <v>207</v>
      </c>
      <c r="G94" s="5">
        <v>23824</v>
      </c>
      <c r="H94" s="4">
        <f>DAY(G94)</f>
        <v>23</v>
      </c>
      <c r="I94" s="4">
        <f>MONTH(G94)</f>
        <v>3</v>
      </c>
      <c r="J94" s="4">
        <f>YEAR(G94)</f>
        <v>1965</v>
      </c>
      <c r="K94" s="6">
        <v>6503236100142</v>
      </c>
      <c r="L94" s="5">
        <v>45748</v>
      </c>
      <c r="M94" s="5">
        <v>45748</v>
      </c>
      <c r="N94" s="5">
        <v>45838</v>
      </c>
      <c r="O94" s="4">
        <v>8367.1299999999992</v>
      </c>
      <c r="P94" s="4">
        <v>1</v>
      </c>
      <c r="Q94" s="4" t="s">
        <v>33</v>
      </c>
      <c r="R94" s="4" t="s">
        <v>34</v>
      </c>
      <c r="S94" s="4">
        <v>90001</v>
      </c>
      <c r="T94" s="4">
        <v>51000431315</v>
      </c>
      <c r="U94" s="4">
        <v>0</v>
      </c>
      <c r="V94" s="4">
        <v>0</v>
      </c>
      <c r="W94" s="4">
        <v>0</v>
      </c>
      <c r="X94" s="4">
        <v>766.78</v>
      </c>
      <c r="Y94" s="4">
        <v>8367.1299999999992</v>
      </c>
      <c r="Z94" s="4">
        <v>7600.35</v>
      </c>
      <c r="AA94" s="4" t="s">
        <v>35</v>
      </c>
    </row>
    <row r="95" spans="1:29" s="4" customFormat="1" x14ac:dyDescent="0.3">
      <c r="A95" s="4" t="s">
        <v>29</v>
      </c>
      <c r="B95" s="4">
        <v>4524504</v>
      </c>
      <c r="C95" s="4">
        <v>4524504</v>
      </c>
      <c r="D95" s="4" t="s">
        <v>208</v>
      </c>
      <c r="E95" s="4" t="s">
        <v>40</v>
      </c>
      <c r="F95" s="4" t="s">
        <v>135</v>
      </c>
      <c r="G95" s="5">
        <v>23439</v>
      </c>
      <c r="H95" s="4">
        <f>DAY(G95)</f>
        <v>3</v>
      </c>
      <c r="I95" s="4">
        <f>MONTH(G95)</f>
        <v>3</v>
      </c>
      <c r="J95" s="4">
        <f>YEAR(G95)</f>
        <v>1964</v>
      </c>
      <c r="K95" s="6">
        <v>6403031100209</v>
      </c>
      <c r="L95" s="5">
        <v>43101</v>
      </c>
      <c r="M95" s="5">
        <v>45474</v>
      </c>
      <c r="N95" s="5">
        <v>45838</v>
      </c>
      <c r="O95" s="4">
        <v>4183.8999999999996</v>
      </c>
      <c r="P95" s="4">
        <v>1</v>
      </c>
      <c r="Q95" s="4" t="s">
        <v>33</v>
      </c>
      <c r="R95" s="4" t="s">
        <v>34</v>
      </c>
      <c r="S95" s="4">
        <v>770002</v>
      </c>
      <c r="T95" s="4">
        <v>77023869810</v>
      </c>
      <c r="U95" s="4">
        <v>0</v>
      </c>
      <c r="V95" s="4">
        <v>0</v>
      </c>
      <c r="W95" s="4">
        <v>0</v>
      </c>
      <c r="X95" s="4">
        <v>0</v>
      </c>
      <c r="Y95" s="4">
        <v>4183.8999999999996</v>
      </c>
      <c r="Z95" s="4">
        <v>4183.8999999999996</v>
      </c>
      <c r="AA95" s="4" t="s">
        <v>35</v>
      </c>
      <c r="AC95" s="4" t="s">
        <v>209</v>
      </c>
    </row>
    <row r="96" spans="1:29" s="4" customFormat="1" x14ac:dyDescent="0.3">
      <c r="A96" s="4" t="s">
        <v>29</v>
      </c>
      <c r="B96" s="4">
        <v>4546999</v>
      </c>
      <c r="C96" s="4">
        <v>4546999</v>
      </c>
      <c r="D96" s="4" t="s">
        <v>210</v>
      </c>
      <c r="E96" s="4" t="s">
        <v>72</v>
      </c>
      <c r="F96" s="4" t="s">
        <v>211</v>
      </c>
      <c r="G96" s="5">
        <v>24559</v>
      </c>
      <c r="H96" s="4">
        <f>DAY(G96)</f>
        <v>28</v>
      </c>
      <c r="I96" s="4">
        <f>MONTH(G96)</f>
        <v>3</v>
      </c>
      <c r="J96" s="4">
        <f>YEAR(G96)</f>
        <v>1967</v>
      </c>
      <c r="K96" s="6">
        <v>6703286100030</v>
      </c>
      <c r="L96" s="5">
        <v>45292</v>
      </c>
      <c r="M96" s="5">
        <v>45474</v>
      </c>
      <c r="N96" s="5">
        <v>45838</v>
      </c>
      <c r="O96" s="4">
        <v>11598.44</v>
      </c>
      <c r="P96" s="4">
        <v>1</v>
      </c>
      <c r="Q96" s="4" t="s">
        <v>33</v>
      </c>
      <c r="R96" s="4" t="s">
        <v>34</v>
      </c>
      <c r="S96" s="4">
        <v>360164</v>
      </c>
      <c r="T96" s="4">
        <v>11990005402</v>
      </c>
      <c r="U96" s="4">
        <v>0</v>
      </c>
      <c r="V96" s="4">
        <v>0</v>
      </c>
      <c r="W96" s="4">
        <v>0</v>
      </c>
      <c r="X96" s="4">
        <v>1799.61</v>
      </c>
      <c r="Y96" s="4">
        <v>11598.44</v>
      </c>
      <c r="Z96" s="4">
        <v>9798.83</v>
      </c>
      <c r="AA96" s="4" t="s">
        <v>35</v>
      </c>
    </row>
    <row r="97" spans="1:29" s="4" customFormat="1" x14ac:dyDescent="0.3">
      <c r="A97" s="4" t="s">
        <v>29</v>
      </c>
      <c r="B97" s="4">
        <v>4558608</v>
      </c>
      <c r="C97" s="4">
        <v>4558608</v>
      </c>
      <c r="D97" s="4" t="s">
        <v>66</v>
      </c>
      <c r="E97" s="4" t="s">
        <v>212</v>
      </c>
      <c r="F97" s="4" t="s">
        <v>213</v>
      </c>
      <c r="G97" s="5">
        <v>23451</v>
      </c>
      <c r="H97" s="4">
        <f>DAY(G97)</f>
        <v>15</v>
      </c>
      <c r="I97" s="4">
        <f>MONTH(G97)</f>
        <v>3</v>
      </c>
      <c r="J97" s="4">
        <f>YEAR(G97)</f>
        <v>1964</v>
      </c>
      <c r="K97" s="6">
        <v>6403151100112</v>
      </c>
      <c r="L97" s="5">
        <v>45383</v>
      </c>
      <c r="M97" s="5">
        <v>45474</v>
      </c>
      <c r="N97" s="5">
        <v>45838</v>
      </c>
      <c r="O97" s="4">
        <v>16739.61</v>
      </c>
      <c r="P97" s="4">
        <v>1</v>
      </c>
      <c r="Q97" s="4" t="s">
        <v>33</v>
      </c>
      <c r="R97" s="4" t="s">
        <v>34</v>
      </c>
      <c r="S97" s="4">
        <v>281064</v>
      </c>
      <c r="T97" s="4">
        <v>57720142886</v>
      </c>
      <c r="U97" s="4">
        <v>82.5</v>
      </c>
      <c r="V97" s="4">
        <v>0</v>
      </c>
      <c r="W97" s="4">
        <v>0</v>
      </c>
      <c r="X97" s="4">
        <v>3074.07</v>
      </c>
      <c r="Y97" s="4">
        <v>16739.61</v>
      </c>
      <c r="Z97" s="4">
        <v>13583.04</v>
      </c>
      <c r="AA97" s="4" t="s">
        <v>35</v>
      </c>
    </row>
    <row r="98" spans="1:29" s="4" customFormat="1" x14ac:dyDescent="0.3">
      <c r="A98" s="4" t="s">
        <v>29</v>
      </c>
      <c r="B98" s="4">
        <v>4581969</v>
      </c>
      <c r="C98" s="4">
        <v>4581969</v>
      </c>
      <c r="D98" s="4" t="s">
        <v>214</v>
      </c>
      <c r="E98" s="4" t="s">
        <v>37</v>
      </c>
      <c r="F98" s="4" t="s">
        <v>215</v>
      </c>
      <c r="G98" s="5">
        <v>23454</v>
      </c>
      <c r="H98" s="4">
        <f>DAY(G98)</f>
        <v>18</v>
      </c>
      <c r="I98" s="4">
        <f>MONTH(G98)</f>
        <v>3</v>
      </c>
      <c r="J98" s="4">
        <f>YEAR(G98)</f>
        <v>1964</v>
      </c>
      <c r="K98" s="6">
        <v>6403186100053</v>
      </c>
      <c r="L98" s="5">
        <v>45078</v>
      </c>
      <c r="M98" s="5">
        <v>45474</v>
      </c>
      <c r="N98" s="5">
        <v>45838</v>
      </c>
      <c r="O98" s="4">
        <v>5463.14</v>
      </c>
      <c r="P98" s="4">
        <v>1</v>
      </c>
      <c r="Q98" s="4" t="s">
        <v>33</v>
      </c>
      <c r="R98" s="4" t="s">
        <v>34</v>
      </c>
      <c r="S98" s="4">
        <v>770002</v>
      </c>
      <c r="T98" s="4">
        <v>77402105596</v>
      </c>
      <c r="U98" s="4">
        <v>0</v>
      </c>
      <c r="V98" s="4">
        <v>0</v>
      </c>
      <c r="W98" s="4">
        <v>0</v>
      </c>
      <c r="X98" s="4">
        <v>184.29</v>
      </c>
      <c r="Y98" s="4">
        <v>5463.14</v>
      </c>
      <c r="Z98" s="4">
        <v>5278.85</v>
      </c>
      <c r="AA98" s="4" t="s">
        <v>35</v>
      </c>
    </row>
    <row r="99" spans="1:29" s="4" customFormat="1" x14ac:dyDescent="0.3">
      <c r="A99" s="4" t="s">
        <v>29</v>
      </c>
      <c r="B99" s="4">
        <v>4625052</v>
      </c>
      <c r="C99" s="4">
        <v>4625052</v>
      </c>
      <c r="D99" s="4" t="s">
        <v>216</v>
      </c>
      <c r="E99" s="4" t="s">
        <v>37</v>
      </c>
      <c r="F99" s="4" t="s">
        <v>217</v>
      </c>
      <c r="G99" s="5">
        <v>21978</v>
      </c>
      <c r="H99" s="4">
        <f>DAY(G99)</f>
        <v>3</v>
      </c>
      <c r="I99" s="4">
        <f>MONTH(G99)</f>
        <v>3</v>
      </c>
      <c r="J99" s="4">
        <f>YEAR(G99)</f>
        <v>1960</v>
      </c>
      <c r="K99" s="6">
        <v>326001004625052</v>
      </c>
      <c r="L99" s="5">
        <v>43922</v>
      </c>
      <c r="M99" s="5">
        <v>45474</v>
      </c>
      <c r="N99" s="5">
        <v>45838</v>
      </c>
      <c r="O99" s="4">
        <v>11753.71</v>
      </c>
      <c r="P99" s="4">
        <v>1</v>
      </c>
      <c r="Q99" s="4" t="s">
        <v>33</v>
      </c>
      <c r="R99" s="4" t="s">
        <v>34</v>
      </c>
      <c r="S99" s="4">
        <v>281064</v>
      </c>
      <c r="T99" s="4">
        <v>57721229534</v>
      </c>
      <c r="U99" s="4">
        <v>0</v>
      </c>
      <c r="V99" s="4">
        <v>0</v>
      </c>
      <c r="W99" s="4">
        <v>0</v>
      </c>
      <c r="X99" s="4">
        <v>1613.42</v>
      </c>
      <c r="Y99" s="4">
        <v>11753.71</v>
      </c>
      <c r="Z99" s="4">
        <v>10140.290000000001</v>
      </c>
      <c r="AA99" s="4" t="s">
        <v>35</v>
      </c>
    </row>
    <row r="100" spans="1:29" s="4" customFormat="1" x14ac:dyDescent="0.3">
      <c r="A100" s="4" t="s">
        <v>29</v>
      </c>
      <c r="B100" s="4">
        <v>4629276</v>
      </c>
      <c r="C100" s="4">
        <v>4629276</v>
      </c>
      <c r="D100" s="4" t="s">
        <v>218</v>
      </c>
      <c r="E100" s="4" t="s">
        <v>219</v>
      </c>
      <c r="F100" s="4" t="s">
        <v>220</v>
      </c>
      <c r="G100" s="5">
        <v>24920</v>
      </c>
      <c r="H100" s="4">
        <f>DAY(G100)</f>
        <v>23</v>
      </c>
      <c r="I100" s="4">
        <f>MONTH(G100)</f>
        <v>3</v>
      </c>
      <c r="J100" s="4">
        <f>YEAR(G100)</f>
        <v>1968</v>
      </c>
      <c r="K100" s="6">
        <v>6803231100042</v>
      </c>
      <c r="L100" s="5">
        <v>43435</v>
      </c>
      <c r="M100" s="5">
        <v>45474</v>
      </c>
      <c r="N100" s="5">
        <v>45838</v>
      </c>
      <c r="O100" s="4">
        <v>1560.63</v>
      </c>
      <c r="P100" s="4">
        <v>1</v>
      </c>
      <c r="Q100" s="4" t="s">
        <v>33</v>
      </c>
      <c r="R100" s="4" t="s">
        <v>34</v>
      </c>
      <c r="S100" s="4">
        <v>770001</v>
      </c>
      <c r="T100" s="4">
        <v>77011657340</v>
      </c>
      <c r="U100" s="4">
        <v>0</v>
      </c>
      <c r="V100" s="4">
        <v>0</v>
      </c>
      <c r="W100" s="4">
        <v>0</v>
      </c>
      <c r="X100" s="4">
        <v>0</v>
      </c>
      <c r="Y100" s="4">
        <v>1560.63</v>
      </c>
      <c r="Z100" s="4">
        <v>1560.63</v>
      </c>
      <c r="AA100" s="4" t="s">
        <v>35</v>
      </c>
    </row>
    <row r="101" spans="1:29" s="4" customFormat="1" x14ac:dyDescent="0.3">
      <c r="A101" s="4" t="s">
        <v>29</v>
      </c>
      <c r="B101" s="4">
        <v>4645438</v>
      </c>
      <c r="C101" s="4">
        <v>4645438</v>
      </c>
      <c r="D101" s="4" t="s">
        <v>66</v>
      </c>
      <c r="E101" s="4" t="s">
        <v>221</v>
      </c>
      <c r="F101" s="4" t="s">
        <v>222</v>
      </c>
      <c r="G101" s="5">
        <v>23465</v>
      </c>
      <c r="H101" s="4">
        <f>DAY(G101)</f>
        <v>29</v>
      </c>
      <c r="I101" s="4">
        <f>MONTH(G101)</f>
        <v>3</v>
      </c>
      <c r="J101" s="4">
        <f>YEAR(G101)</f>
        <v>1964</v>
      </c>
      <c r="K101" s="6">
        <v>6403296100043</v>
      </c>
      <c r="L101" s="5">
        <v>45383</v>
      </c>
      <c r="M101" s="5">
        <v>45474</v>
      </c>
      <c r="N101" s="5">
        <v>45838</v>
      </c>
      <c r="O101" s="4">
        <v>1500</v>
      </c>
      <c r="P101" s="4">
        <v>1</v>
      </c>
      <c r="Q101" s="4" t="s">
        <v>33</v>
      </c>
      <c r="R101" s="4" t="s">
        <v>34</v>
      </c>
      <c r="S101" s="4">
        <v>90001</v>
      </c>
      <c r="T101" s="4">
        <v>51000425528</v>
      </c>
      <c r="U101" s="4">
        <v>0</v>
      </c>
      <c r="V101" s="4">
        <v>0</v>
      </c>
      <c r="W101" s="4">
        <v>0</v>
      </c>
      <c r="X101" s="4">
        <v>0</v>
      </c>
      <c r="Y101" s="4">
        <v>1500</v>
      </c>
      <c r="Z101" s="4">
        <v>1500</v>
      </c>
      <c r="AA101" s="4" t="s">
        <v>35</v>
      </c>
    </row>
    <row r="102" spans="1:29" s="4" customFormat="1" x14ac:dyDescent="0.3">
      <c r="A102" s="4" t="s">
        <v>29</v>
      </c>
      <c r="B102" s="4">
        <v>4720683</v>
      </c>
      <c r="C102" s="4">
        <v>4720683</v>
      </c>
      <c r="D102" s="4" t="s">
        <v>223</v>
      </c>
      <c r="E102" s="4" t="s">
        <v>224</v>
      </c>
      <c r="F102" s="4" t="s">
        <v>225</v>
      </c>
      <c r="G102" s="5">
        <v>23449</v>
      </c>
      <c r="H102" s="4">
        <f>DAY(G102)</f>
        <v>13</v>
      </c>
      <c r="I102" s="4">
        <f>MONTH(G102)</f>
        <v>3</v>
      </c>
      <c r="J102" s="4">
        <f>YEAR(G102)</f>
        <v>1964</v>
      </c>
      <c r="K102" s="6">
        <v>6403131100133</v>
      </c>
      <c r="L102" s="5">
        <v>45383</v>
      </c>
      <c r="M102" s="5">
        <v>45474</v>
      </c>
      <c r="N102" s="5">
        <v>45838</v>
      </c>
      <c r="O102" s="4">
        <v>12306.06</v>
      </c>
      <c r="P102" s="4">
        <v>1</v>
      </c>
      <c r="Q102" s="4" t="s">
        <v>33</v>
      </c>
      <c r="R102" s="4" t="s">
        <v>34</v>
      </c>
      <c r="S102" s="4">
        <v>660564</v>
      </c>
      <c r="T102" s="4">
        <v>9110001188685</v>
      </c>
      <c r="U102" s="4">
        <v>0</v>
      </c>
      <c r="V102" s="4">
        <v>0</v>
      </c>
      <c r="W102" s="4">
        <v>0</v>
      </c>
      <c r="X102" s="4">
        <v>1751.51</v>
      </c>
      <c r="Y102" s="4">
        <v>12306.06</v>
      </c>
      <c r="Z102" s="4">
        <v>10554.55</v>
      </c>
      <c r="AA102" s="4" t="s">
        <v>35</v>
      </c>
    </row>
    <row r="103" spans="1:29" s="4" customFormat="1" x14ac:dyDescent="0.3">
      <c r="A103" s="4" t="s">
        <v>29</v>
      </c>
      <c r="B103" s="4">
        <v>4760225</v>
      </c>
      <c r="C103" s="4">
        <v>4760225</v>
      </c>
      <c r="D103" s="4" t="s">
        <v>226</v>
      </c>
      <c r="E103" s="4" t="s">
        <v>40</v>
      </c>
      <c r="F103" s="4" t="s">
        <v>122</v>
      </c>
      <c r="G103" s="5">
        <v>17614</v>
      </c>
      <c r="H103" s="4">
        <f>DAY(G103)</f>
        <v>22</v>
      </c>
      <c r="I103" s="4">
        <f>MONTH(G103)</f>
        <v>3</v>
      </c>
      <c r="J103" s="4">
        <f>YEAR(G103)</f>
        <v>1948</v>
      </c>
      <c r="K103" s="6">
        <v>4801221000034</v>
      </c>
      <c r="L103" s="5">
        <v>39539</v>
      </c>
      <c r="M103" s="5">
        <v>45474</v>
      </c>
      <c r="N103" s="5">
        <v>45838</v>
      </c>
      <c r="O103" s="4">
        <v>3044.81</v>
      </c>
      <c r="P103" s="4">
        <v>1</v>
      </c>
      <c r="Q103" s="4" t="s">
        <v>33</v>
      </c>
      <c r="R103" s="4" t="s">
        <v>34</v>
      </c>
      <c r="S103" s="4">
        <v>282064</v>
      </c>
      <c r="T103" s="4">
        <v>62192186990</v>
      </c>
      <c r="U103" s="4">
        <v>0</v>
      </c>
      <c r="V103" s="4">
        <v>0</v>
      </c>
      <c r="W103" s="4">
        <v>0</v>
      </c>
      <c r="X103" s="4">
        <v>0</v>
      </c>
      <c r="Y103" s="4">
        <v>3044.81</v>
      </c>
      <c r="Z103" s="4">
        <v>3044.81</v>
      </c>
      <c r="AA103" s="4" t="s">
        <v>35</v>
      </c>
    </row>
    <row r="104" spans="1:29" s="4" customFormat="1" x14ac:dyDescent="0.3">
      <c r="A104" s="4" t="s">
        <v>29</v>
      </c>
      <c r="B104" s="4">
        <v>4773571</v>
      </c>
      <c r="C104" s="4">
        <v>4773571</v>
      </c>
      <c r="D104" s="4" t="s">
        <v>227</v>
      </c>
      <c r="E104" s="4" t="s">
        <v>228</v>
      </c>
      <c r="F104" s="4" t="s">
        <v>229</v>
      </c>
      <c r="G104" s="5">
        <v>23815</v>
      </c>
      <c r="H104" s="4">
        <f>DAY(G104)</f>
        <v>14</v>
      </c>
      <c r="I104" s="4">
        <f>MONTH(G104)</f>
        <v>3</v>
      </c>
      <c r="J104" s="4">
        <f>YEAR(G104)</f>
        <v>1965</v>
      </c>
      <c r="K104" s="6">
        <v>6503141100229</v>
      </c>
      <c r="L104" s="5">
        <v>45748</v>
      </c>
      <c r="M104" s="5">
        <v>45748</v>
      </c>
      <c r="N104" s="5">
        <v>45838</v>
      </c>
      <c r="O104" s="4">
        <v>5061.3</v>
      </c>
      <c r="P104" s="4">
        <v>1</v>
      </c>
      <c r="Q104" s="4" t="s">
        <v>33</v>
      </c>
      <c r="R104" s="4" t="s">
        <v>34</v>
      </c>
      <c r="S104" s="4">
        <v>660564</v>
      </c>
      <c r="T104" s="4">
        <v>9110006609433</v>
      </c>
      <c r="U104" s="4">
        <v>0</v>
      </c>
      <c r="V104" s="4">
        <v>0</v>
      </c>
      <c r="W104" s="4">
        <v>0</v>
      </c>
      <c r="X104" s="4">
        <v>103.92</v>
      </c>
      <c r="Y104" s="4">
        <v>5061.3</v>
      </c>
      <c r="Z104" s="4">
        <v>4957.38</v>
      </c>
      <c r="AA104" s="4" t="s">
        <v>35</v>
      </c>
    </row>
    <row r="105" spans="1:29" s="4" customFormat="1" x14ac:dyDescent="0.3">
      <c r="A105" s="4" t="s">
        <v>29</v>
      </c>
      <c r="B105" s="4">
        <v>4778239</v>
      </c>
      <c r="C105" s="4">
        <v>4778239</v>
      </c>
      <c r="D105" s="4" t="s">
        <v>163</v>
      </c>
      <c r="E105" s="4" t="s">
        <v>103</v>
      </c>
      <c r="F105" s="4" t="s">
        <v>230</v>
      </c>
      <c r="G105" s="5">
        <v>26008</v>
      </c>
      <c r="H105" s="4">
        <f>DAY(G105)</f>
        <v>16</v>
      </c>
      <c r="I105" s="4">
        <f>MONTH(G105)</f>
        <v>3</v>
      </c>
      <c r="J105" s="4">
        <f>YEAR(G105)</f>
        <v>1971</v>
      </c>
      <c r="K105" s="6">
        <v>7103166100136</v>
      </c>
      <c r="L105" s="5">
        <v>44958</v>
      </c>
      <c r="M105" s="5">
        <v>45444</v>
      </c>
      <c r="N105" s="5">
        <v>45838</v>
      </c>
      <c r="O105" s="4">
        <v>3027.7</v>
      </c>
      <c r="P105" s="4">
        <v>1</v>
      </c>
      <c r="Q105" s="4" t="s">
        <v>33</v>
      </c>
      <c r="R105" s="4" t="s">
        <v>34</v>
      </c>
      <c r="S105" s="4">
        <v>282064</v>
      </c>
      <c r="T105" s="4">
        <v>63088402672</v>
      </c>
      <c r="U105" s="4">
        <v>0</v>
      </c>
      <c r="V105" s="4">
        <v>0</v>
      </c>
      <c r="W105" s="4">
        <v>0</v>
      </c>
      <c r="X105" s="4">
        <v>0</v>
      </c>
      <c r="Y105" s="4">
        <v>3027.7</v>
      </c>
      <c r="Z105" s="4">
        <v>3027.7</v>
      </c>
      <c r="AA105" s="4" t="s">
        <v>35</v>
      </c>
    </row>
    <row r="106" spans="1:29" s="4" customFormat="1" x14ac:dyDescent="0.3">
      <c r="A106" s="4" t="s">
        <v>29</v>
      </c>
      <c r="B106" s="4">
        <v>4783130</v>
      </c>
      <c r="C106" s="4">
        <v>4783130</v>
      </c>
      <c r="D106" s="4" t="s">
        <v>199</v>
      </c>
      <c r="E106" s="4" t="s">
        <v>72</v>
      </c>
      <c r="F106" s="4" t="s">
        <v>231</v>
      </c>
      <c r="G106" s="5">
        <v>26003</v>
      </c>
      <c r="H106" s="4">
        <f>DAY(G106)</f>
        <v>11</v>
      </c>
      <c r="I106" s="4">
        <f>MONTH(G106)</f>
        <v>3</v>
      </c>
      <c r="J106" s="4">
        <f>YEAR(G106)</f>
        <v>1971</v>
      </c>
      <c r="K106" s="6">
        <v>7103111100116</v>
      </c>
      <c r="L106" s="5">
        <v>45748</v>
      </c>
      <c r="M106" s="5">
        <v>45748</v>
      </c>
      <c r="N106" s="5">
        <v>45838</v>
      </c>
      <c r="O106" s="4">
        <v>3189.95</v>
      </c>
      <c r="P106" s="4">
        <v>1</v>
      </c>
      <c r="Q106" s="4" t="s">
        <v>33</v>
      </c>
      <c r="R106" s="4" t="s">
        <v>34</v>
      </c>
      <c r="S106" s="4">
        <v>90001</v>
      </c>
      <c r="T106" s="4">
        <v>51000614037</v>
      </c>
      <c r="U106" s="4">
        <v>0</v>
      </c>
      <c r="V106" s="4">
        <v>0</v>
      </c>
      <c r="W106" s="4">
        <v>0</v>
      </c>
      <c r="X106" s="4">
        <v>0</v>
      </c>
      <c r="Y106" s="4">
        <v>3189.95</v>
      </c>
      <c r="Z106" s="4">
        <v>3189.95</v>
      </c>
      <c r="AA106" s="4" t="s">
        <v>35</v>
      </c>
    </row>
    <row r="107" spans="1:29" s="4" customFormat="1" x14ac:dyDescent="0.3">
      <c r="A107" s="4" t="s">
        <v>29</v>
      </c>
      <c r="B107" s="4">
        <v>4785493</v>
      </c>
      <c r="C107" s="4">
        <v>4785493</v>
      </c>
      <c r="D107" s="4" t="s">
        <v>232</v>
      </c>
      <c r="E107" s="4" t="s">
        <v>233</v>
      </c>
      <c r="F107" s="4" t="s">
        <v>234</v>
      </c>
      <c r="G107" s="5">
        <v>23086</v>
      </c>
      <c r="H107" s="4">
        <f>DAY(G107)</f>
        <v>16</v>
      </c>
      <c r="I107" s="4">
        <f>MONTH(G107)</f>
        <v>3</v>
      </c>
      <c r="J107" s="4">
        <f>YEAR(G107)</f>
        <v>1963</v>
      </c>
      <c r="K107" s="6">
        <v>6303161100047</v>
      </c>
      <c r="L107" s="5">
        <v>45017</v>
      </c>
      <c r="M107" s="5">
        <v>45474</v>
      </c>
      <c r="N107" s="5">
        <v>45838</v>
      </c>
      <c r="O107" s="4">
        <v>6114.79</v>
      </c>
      <c r="P107" s="4">
        <v>1</v>
      </c>
      <c r="Q107" s="4" t="s">
        <v>33</v>
      </c>
      <c r="R107" s="4" t="s">
        <v>34</v>
      </c>
      <c r="S107" s="4">
        <v>90001</v>
      </c>
      <c r="T107" s="4">
        <v>51000620053</v>
      </c>
      <c r="U107" s="4">
        <v>0</v>
      </c>
      <c r="V107" s="4">
        <v>0</v>
      </c>
      <c r="W107" s="4">
        <v>0</v>
      </c>
      <c r="X107" s="4">
        <v>314.62</v>
      </c>
      <c r="Y107" s="4">
        <v>6114.79</v>
      </c>
      <c r="Z107" s="4">
        <v>5800.17</v>
      </c>
      <c r="AA107" s="4" t="s">
        <v>35</v>
      </c>
    </row>
    <row r="108" spans="1:29" s="4" customFormat="1" x14ac:dyDescent="0.3">
      <c r="A108" s="4" t="s">
        <v>29</v>
      </c>
      <c r="B108" s="4">
        <v>4786690</v>
      </c>
      <c r="C108" s="4">
        <v>4786690</v>
      </c>
      <c r="D108" s="4" t="s">
        <v>66</v>
      </c>
      <c r="E108" s="4" t="s">
        <v>37</v>
      </c>
      <c r="F108" s="4" t="s">
        <v>235</v>
      </c>
      <c r="G108" s="5">
        <v>20544</v>
      </c>
      <c r="H108" s="4">
        <f>DAY(G108)</f>
        <v>30</v>
      </c>
      <c r="I108" s="4">
        <f>MONTH(G108)</f>
        <v>3</v>
      </c>
      <c r="J108" s="4">
        <f>YEAR(G108)</f>
        <v>1956</v>
      </c>
      <c r="K108" s="6">
        <v>5603306100013</v>
      </c>
      <c r="L108" s="5">
        <v>42461</v>
      </c>
      <c r="M108" s="5">
        <v>45474</v>
      </c>
      <c r="N108" s="5">
        <v>45838</v>
      </c>
      <c r="O108" s="4">
        <v>32993.97</v>
      </c>
      <c r="P108" s="4">
        <v>1</v>
      </c>
      <c r="Q108" s="4" t="s">
        <v>33</v>
      </c>
      <c r="R108" s="4" t="s">
        <v>34</v>
      </c>
      <c r="S108" s="4">
        <v>660564</v>
      </c>
      <c r="T108" s="4">
        <v>9110003548808</v>
      </c>
      <c r="U108" s="4">
        <v>0</v>
      </c>
      <c r="V108" s="4">
        <v>0</v>
      </c>
      <c r="W108" s="4">
        <v>0</v>
      </c>
      <c r="X108" s="4">
        <v>8438.01</v>
      </c>
      <c r="Y108" s="4">
        <v>32993.97</v>
      </c>
      <c r="Z108" s="4">
        <v>24555.96</v>
      </c>
      <c r="AA108" s="4" t="s">
        <v>35</v>
      </c>
    </row>
    <row r="109" spans="1:29" s="4" customFormat="1" x14ac:dyDescent="0.3">
      <c r="A109" s="4" t="s">
        <v>29</v>
      </c>
      <c r="B109" s="4">
        <v>4854681</v>
      </c>
      <c r="C109" s="4">
        <v>4854681</v>
      </c>
      <c r="D109" s="4" t="s">
        <v>236</v>
      </c>
      <c r="E109" s="4" t="s">
        <v>52</v>
      </c>
      <c r="F109" s="4" t="s">
        <v>237</v>
      </c>
      <c r="G109" s="5">
        <v>25655</v>
      </c>
      <c r="H109" s="4">
        <f>DAY(G109)</f>
        <v>28</v>
      </c>
      <c r="I109" s="4">
        <f>MONTH(G109)</f>
        <v>3</v>
      </c>
      <c r="J109" s="4">
        <f>YEAR(G109)</f>
        <v>1970</v>
      </c>
      <c r="K109" s="6">
        <v>7003281100039</v>
      </c>
      <c r="L109" s="5">
        <v>42736</v>
      </c>
      <c r="M109" s="5">
        <v>45444</v>
      </c>
      <c r="N109" s="5">
        <v>45838</v>
      </c>
      <c r="O109" s="4">
        <v>1851.93</v>
      </c>
      <c r="P109" s="4">
        <v>1</v>
      </c>
      <c r="Q109" s="4" t="s">
        <v>33</v>
      </c>
      <c r="R109" s="4" t="s">
        <v>34</v>
      </c>
      <c r="S109" s="4">
        <v>90005</v>
      </c>
      <c r="T109" s="4">
        <v>51000598651</v>
      </c>
      <c r="U109" s="4">
        <v>0</v>
      </c>
      <c r="V109" s="4">
        <v>0</v>
      </c>
      <c r="W109" s="4">
        <v>0</v>
      </c>
      <c r="X109" s="4">
        <v>0</v>
      </c>
      <c r="Y109" s="4">
        <v>1851.93</v>
      </c>
      <c r="Z109" s="4">
        <v>1851.93</v>
      </c>
      <c r="AA109" s="4" t="s">
        <v>35</v>
      </c>
      <c r="AC109" s="4" t="s">
        <v>238</v>
      </c>
    </row>
    <row r="110" spans="1:29" s="4" customFormat="1" x14ac:dyDescent="0.3">
      <c r="A110" s="4" t="s">
        <v>29</v>
      </c>
      <c r="B110" s="4">
        <v>4864446</v>
      </c>
      <c r="C110" s="4">
        <v>4864446</v>
      </c>
      <c r="D110" s="4" t="s">
        <v>66</v>
      </c>
      <c r="E110" s="4" t="s">
        <v>49</v>
      </c>
      <c r="F110" s="4" t="s">
        <v>239</v>
      </c>
      <c r="G110" s="5">
        <v>26729</v>
      </c>
      <c r="H110" s="4">
        <f>DAY(G110)</f>
        <v>6</v>
      </c>
      <c r="I110" s="4">
        <f>MONTH(G110)</f>
        <v>3</v>
      </c>
      <c r="J110" s="4">
        <f>YEAR(G110)</f>
        <v>1973</v>
      </c>
      <c r="K110" s="6">
        <v>7303066100067</v>
      </c>
      <c r="L110" s="5">
        <v>43191</v>
      </c>
      <c r="M110" s="5">
        <v>45474</v>
      </c>
      <c r="N110" s="5">
        <v>45838</v>
      </c>
      <c r="O110" s="4">
        <v>2019.52</v>
      </c>
      <c r="P110" s="4">
        <v>1</v>
      </c>
      <c r="Q110" s="4" t="s">
        <v>33</v>
      </c>
      <c r="R110" s="4" t="s">
        <v>34</v>
      </c>
      <c r="S110" s="4">
        <v>90005</v>
      </c>
      <c r="T110" s="4">
        <v>51000952854</v>
      </c>
      <c r="U110" s="4">
        <v>0</v>
      </c>
      <c r="V110" s="4">
        <v>0</v>
      </c>
      <c r="W110" s="4">
        <v>0</v>
      </c>
      <c r="X110" s="4">
        <v>0</v>
      </c>
      <c r="Y110" s="4">
        <v>2019.52</v>
      </c>
      <c r="Z110" s="4">
        <v>2019.52</v>
      </c>
      <c r="AA110" s="4" t="s">
        <v>35</v>
      </c>
    </row>
    <row r="111" spans="1:29" s="4" customFormat="1" x14ac:dyDescent="0.3">
      <c r="A111" s="4" t="s">
        <v>29</v>
      </c>
      <c r="B111" s="4">
        <v>4903039</v>
      </c>
      <c r="C111" s="4">
        <v>4903039</v>
      </c>
      <c r="D111" s="4" t="s">
        <v>66</v>
      </c>
      <c r="E111" s="4" t="s">
        <v>103</v>
      </c>
      <c r="F111" s="4" t="s">
        <v>240</v>
      </c>
      <c r="G111" s="5">
        <v>26007</v>
      </c>
      <c r="H111" s="4">
        <f>DAY(G111)</f>
        <v>15</v>
      </c>
      <c r="I111" s="4">
        <f>MONTH(G111)</f>
        <v>3</v>
      </c>
      <c r="J111" s="4">
        <f>YEAR(G111)</f>
        <v>1971</v>
      </c>
      <c r="K111" s="6">
        <v>7103156100104</v>
      </c>
      <c r="L111" s="5">
        <v>45627</v>
      </c>
      <c r="M111" s="5">
        <v>45627</v>
      </c>
      <c r="N111" s="5">
        <v>45838</v>
      </c>
      <c r="O111" s="4">
        <v>3750.08</v>
      </c>
      <c r="P111" s="4">
        <v>1</v>
      </c>
      <c r="Q111" s="4" t="s">
        <v>33</v>
      </c>
      <c r="R111" s="4" t="s">
        <v>34</v>
      </c>
      <c r="S111" s="4">
        <v>770002</v>
      </c>
      <c r="T111" s="4">
        <v>77400960537</v>
      </c>
      <c r="U111" s="4">
        <v>0</v>
      </c>
      <c r="V111" s="4">
        <v>0</v>
      </c>
      <c r="W111" s="4">
        <v>0</v>
      </c>
      <c r="X111" s="4">
        <v>66.680000000000007</v>
      </c>
      <c r="Y111" s="4">
        <v>3750.08</v>
      </c>
      <c r="Z111" s="4">
        <v>3683.4</v>
      </c>
      <c r="AA111" s="4" t="s">
        <v>35</v>
      </c>
    </row>
    <row r="112" spans="1:29" s="4" customFormat="1" x14ac:dyDescent="0.3">
      <c r="A112" s="4" t="s">
        <v>29</v>
      </c>
      <c r="B112" s="4">
        <v>4935344</v>
      </c>
      <c r="C112" s="4">
        <v>4935344</v>
      </c>
      <c r="D112" s="4" t="s">
        <v>211</v>
      </c>
      <c r="E112" s="4" t="s">
        <v>87</v>
      </c>
      <c r="F112" s="4" t="s">
        <v>241</v>
      </c>
      <c r="G112" s="5">
        <v>26003</v>
      </c>
      <c r="H112" s="4">
        <f>DAY(G112)</f>
        <v>11</v>
      </c>
      <c r="I112" s="4">
        <f>MONTH(G112)</f>
        <v>3</v>
      </c>
      <c r="J112" s="4">
        <f>YEAR(G112)</f>
        <v>1971</v>
      </c>
      <c r="K112" s="6">
        <v>7103111100074</v>
      </c>
      <c r="L112" s="5">
        <v>45474</v>
      </c>
      <c r="M112" s="5">
        <v>45474</v>
      </c>
      <c r="N112" s="5">
        <v>45838</v>
      </c>
      <c r="O112" s="4">
        <v>5722.58</v>
      </c>
      <c r="P112" s="4">
        <v>1</v>
      </c>
      <c r="Q112" s="4" t="s">
        <v>33</v>
      </c>
      <c r="R112" s="4" t="s">
        <v>34</v>
      </c>
      <c r="S112" s="4">
        <v>90001</v>
      </c>
      <c r="T112" s="4">
        <v>52001021615</v>
      </c>
      <c r="U112" s="4">
        <v>260</v>
      </c>
      <c r="V112" s="4">
        <v>0</v>
      </c>
      <c r="W112" s="4">
        <v>0</v>
      </c>
      <c r="X112" s="4">
        <v>461.18</v>
      </c>
      <c r="Y112" s="4">
        <v>5722.58</v>
      </c>
      <c r="Z112" s="4">
        <v>5001.3999999999996</v>
      </c>
      <c r="AA112" s="4" t="s">
        <v>35</v>
      </c>
    </row>
    <row r="113" spans="1:27" s="4" customFormat="1" x14ac:dyDescent="0.3">
      <c r="A113" s="4" t="s">
        <v>29</v>
      </c>
      <c r="B113" s="4">
        <v>5072141</v>
      </c>
      <c r="C113" s="4">
        <v>5072141</v>
      </c>
      <c r="D113" s="4" t="s">
        <v>66</v>
      </c>
      <c r="E113" s="4" t="s">
        <v>72</v>
      </c>
      <c r="F113" s="4" t="s">
        <v>242</v>
      </c>
      <c r="G113" s="5">
        <v>19075</v>
      </c>
      <c r="H113" s="4">
        <f>DAY(G113)</f>
        <v>22</v>
      </c>
      <c r="I113" s="4">
        <f>MONTH(G113)</f>
        <v>3</v>
      </c>
      <c r="J113" s="4">
        <f>YEAR(G113)</f>
        <v>1952</v>
      </c>
      <c r="K113" s="6">
        <v>5203226100134</v>
      </c>
      <c r="L113" s="5">
        <v>41000</v>
      </c>
      <c r="M113" s="5">
        <v>45474</v>
      </c>
      <c r="N113" s="5">
        <v>45838</v>
      </c>
      <c r="O113" s="4">
        <v>6819.91</v>
      </c>
      <c r="P113" s="4">
        <v>1</v>
      </c>
      <c r="Q113" s="4" t="s">
        <v>33</v>
      </c>
      <c r="R113" s="4" t="s">
        <v>34</v>
      </c>
      <c r="S113" s="4">
        <v>770001</v>
      </c>
      <c r="T113" s="4">
        <v>1040111546401</v>
      </c>
      <c r="U113" s="4">
        <v>20</v>
      </c>
      <c r="V113" s="4">
        <v>0</v>
      </c>
      <c r="W113" s="4">
        <v>0</v>
      </c>
      <c r="X113" s="4">
        <v>455.64</v>
      </c>
      <c r="Y113" s="4">
        <v>6819.91</v>
      </c>
      <c r="Z113" s="4">
        <v>6344.27</v>
      </c>
      <c r="AA113" s="4" t="s">
        <v>35</v>
      </c>
    </row>
    <row r="114" spans="1:27" s="4" customFormat="1" x14ac:dyDescent="0.3">
      <c r="A114" s="4" t="s">
        <v>29</v>
      </c>
      <c r="B114" s="4">
        <v>5090305</v>
      </c>
      <c r="C114" s="4">
        <v>5090305</v>
      </c>
      <c r="D114" s="4" t="s">
        <v>66</v>
      </c>
      <c r="E114" s="4" t="s">
        <v>72</v>
      </c>
      <c r="F114" s="4" t="s">
        <v>243</v>
      </c>
      <c r="G114" s="5">
        <v>21258</v>
      </c>
      <c r="H114" s="4">
        <f>DAY(G114)</f>
        <v>14</v>
      </c>
      <c r="I114" s="4">
        <f>MONTH(G114)</f>
        <v>3</v>
      </c>
      <c r="J114" s="4">
        <f>YEAR(G114)</f>
        <v>1958</v>
      </c>
      <c r="K114" s="6">
        <v>430502005090305</v>
      </c>
      <c r="L114" s="5">
        <v>43191</v>
      </c>
      <c r="M114" s="5">
        <v>45474</v>
      </c>
      <c r="N114" s="5">
        <v>45838</v>
      </c>
      <c r="O114" s="4">
        <v>3356.42</v>
      </c>
      <c r="P114" s="4">
        <v>1</v>
      </c>
      <c r="Q114" s="4" t="s">
        <v>33</v>
      </c>
      <c r="R114" s="4" t="s">
        <v>34</v>
      </c>
      <c r="S114" s="4">
        <v>90001</v>
      </c>
      <c r="T114" s="4">
        <v>51000003208</v>
      </c>
      <c r="U114" s="4">
        <v>0</v>
      </c>
      <c r="V114" s="4">
        <v>0</v>
      </c>
      <c r="W114" s="4">
        <v>0</v>
      </c>
      <c r="X114" s="4">
        <v>0</v>
      </c>
      <c r="Y114" s="4">
        <v>3356.42</v>
      </c>
      <c r="Z114" s="4">
        <v>3356.42</v>
      </c>
      <c r="AA114" s="4" t="s">
        <v>35</v>
      </c>
    </row>
    <row r="115" spans="1:27" s="4" customFormat="1" x14ac:dyDescent="0.3">
      <c r="A115" s="4" t="s">
        <v>29</v>
      </c>
      <c r="B115" s="4">
        <v>5093872</v>
      </c>
      <c r="C115" s="4">
        <v>5093872</v>
      </c>
      <c r="D115" s="4" t="s">
        <v>39</v>
      </c>
      <c r="E115" s="4" t="s">
        <v>244</v>
      </c>
      <c r="F115" s="4" t="s">
        <v>245</v>
      </c>
      <c r="G115" s="5">
        <v>21262</v>
      </c>
      <c r="H115" s="4">
        <f>DAY(G115)</f>
        <v>18</v>
      </c>
      <c r="I115" s="4">
        <f>MONTH(G115)</f>
        <v>3</v>
      </c>
      <c r="J115" s="4">
        <f>YEAR(G115)</f>
        <v>1958</v>
      </c>
      <c r="K115" s="6">
        <v>6303186100055</v>
      </c>
      <c r="L115" s="5">
        <v>43191</v>
      </c>
      <c r="M115" s="5">
        <v>45474</v>
      </c>
      <c r="N115" s="5">
        <v>45838</v>
      </c>
      <c r="O115" s="4">
        <v>11856.83</v>
      </c>
      <c r="P115" s="4">
        <v>1</v>
      </c>
      <c r="Q115" s="4" t="s">
        <v>33</v>
      </c>
      <c r="R115" s="4" t="s">
        <v>34</v>
      </c>
      <c r="S115" s="4">
        <v>360164</v>
      </c>
      <c r="T115" s="7" t="s">
        <v>246</v>
      </c>
      <c r="U115" s="4">
        <v>0</v>
      </c>
      <c r="V115" s="4">
        <v>0</v>
      </c>
      <c r="W115" s="4">
        <v>0</v>
      </c>
      <c r="X115" s="4">
        <v>1639.2</v>
      </c>
      <c r="Y115" s="4">
        <v>11856.83</v>
      </c>
      <c r="Z115" s="4">
        <v>10217.629999999999</v>
      </c>
      <c r="AA115" s="4" t="s">
        <v>35</v>
      </c>
    </row>
    <row r="116" spans="1:27" s="4" customFormat="1" x14ac:dyDescent="0.3">
      <c r="A116" s="4" t="s">
        <v>29</v>
      </c>
      <c r="B116" s="4">
        <v>5094134</v>
      </c>
      <c r="C116" s="4">
        <v>5094134</v>
      </c>
      <c r="D116" s="4" t="s">
        <v>247</v>
      </c>
      <c r="E116" s="4" t="s">
        <v>31</v>
      </c>
      <c r="F116" s="4" t="s">
        <v>248</v>
      </c>
      <c r="G116" s="5">
        <v>20888</v>
      </c>
      <c r="H116" s="4">
        <f>DAY(G116)</f>
        <v>9</v>
      </c>
      <c r="I116" s="4">
        <f>MONTH(G116)</f>
        <v>3</v>
      </c>
      <c r="J116" s="4">
        <f>YEAR(G116)</f>
        <v>1957</v>
      </c>
      <c r="K116" s="6">
        <v>5703091100051</v>
      </c>
      <c r="L116" s="5">
        <v>40513</v>
      </c>
      <c r="M116" s="5">
        <v>45474</v>
      </c>
      <c r="N116" s="5">
        <v>45838</v>
      </c>
      <c r="O116" s="4">
        <v>4334.87</v>
      </c>
      <c r="P116" s="4">
        <v>1</v>
      </c>
      <c r="Q116" s="4" t="s">
        <v>33</v>
      </c>
      <c r="R116" s="4" t="s">
        <v>34</v>
      </c>
      <c r="S116" s="4">
        <v>770002</v>
      </c>
      <c r="T116" s="4">
        <v>2040112711501</v>
      </c>
      <c r="U116" s="4">
        <v>0</v>
      </c>
      <c r="V116" s="4">
        <v>0</v>
      </c>
      <c r="W116" s="4">
        <v>0</v>
      </c>
      <c r="X116" s="4">
        <v>0</v>
      </c>
      <c r="Y116" s="4">
        <v>4334.87</v>
      </c>
      <c r="Z116" s="4">
        <v>4334.87</v>
      </c>
      <c r="AA116" s="4" t="s">
        <v>35</v>
      </c>
    </row>
    <row r="117" spans="1:27" s="4" customFormat="1" x14ac:dyDescent="0.3">
      <c r="A117" s="4" t="s">
        <v>29</v>
      </c>
      <c r="B117" s="4">
        <v>5094361</v>
      </c>
      <c r="C117" s="4">
        <v>5094361</v>
      </c>
      <c r="D117" s="4" t="s">
        <v>249</v>
      </c>
      <c r="E117" s="4" t="s">
        <v>31</v>
      </c>
      <c r="F117" s="4" t="s">
        <v>250</v>
      </c>
      <c r="G117" s="5">
        <v>21618</v>
      </c>
      <c r="H117" s="4">
        <f>DAY(G117)</f>
        <v>9</v>
      </c>
      <c r="I117" s="4">
        <f>MONTH(G117)</f>
        <v>3</v>
      </c>
      <c r="J117" s="4">
        <f>YEAR(G117)</f>
        <v>1959</v>
      </c>
      <c r="K117" s="6">
        <v>211201005094361</v>
      </c>
      <c r="L117" s="5">
        <v>43556</v>
      </c>
      <c r="M117" s="5">
        <v>45474</v>
      </c>
      <c r="N117" s="5">
        <v>45838</v>
      </c>
      <c r="O117" s="4">
        <v>9075.73</v>
      </c>
      <c r="P117" s="4">
        <v>1</v>
      </c>
      <c r="Q117" s="4" t="s">
        <v>33</v>
      </c>
      <c r="R117" s="4" t="s">
        <v>34</v>
      </c>
      <c r="S117" s="4">
        <v>282064</v>
      </c>
      <c r="T117" s="4">
        <v>57730038603</v>
      </c>
      <c r="U117" s="4">
        <v>0</v>
      </c>
      <c r="V117" s="4">
        <v>0</v>
      </c>
      <c r="W117" s="4">
        <v>0</v>
      </c>
      <c r="X117" s="4">
        <v>943.93</v>
      </c>
      <c r="Y117" s="4">
        <v>9075.73</v>
      </c>
      <c r="Z117" s="4">
        <v>8131.8</v>
      </c>
      <c r="AA117" s="4" t="s">
        <v>35</v>
      </c>
    </row>
    <row r="118" spans="1:27" s="4" customFormat="1" x14ac:dyDescent="0.3">
      <c r="A118" s="4" t="s">
        <v>29</v>
      </c>
      <c r="B118" s="4">
        <v>5117527</v>
      </c>
      <c r="C118" s="4">
        <v>5117527</v>
      </c>
      <c r="D118" s="4" t="s">
        <v>96</v>
      </c>
      <c r="E118" s="4" t="s">
        <v>72</v>
      </c>
      <c r="F118" s="4" t="s">
        <v>251</v>
      </c>
      <c r="G118" s="5">
        <v>22354</v>
      </c>
      <c r="H118" s="4">
        <f>DAY(G118)</f>
        <v>14</v>
      </c>
      <c r="I118" s="4">
        <f>MONTH(G118)</f>
        <v>3</v>
      </c>
      <c r="J118" s="4">
        <f>YEAR(G118)</f>
        <v>1961</v>
      </c>
      <c r="K118" s="6">
        <v>430902005117527</v>
      </c>
      <c r="L118" s="5">
        <v>44287</v>
      </c>
      <c r="M118" s="5">
        <v>45474</v>
      </c>
      <c r="N118" s="5">
        <v>45838</v>
      </c>
      <c r="O118" s="4">
        <v>8908.18</v>
      </c>
      <c r="P118" s="4">
        <v>1</v>
      </c>
      <c r="Q118" s="4" t="s">
        <v>33</v>
      </c>
      <c r="R118" s="4" t="s">
        <v>34</v>
      </c>
      <c r="S118" s="4">
        <v>90001</v>
      </c>
      <c r="T118" s="4">
        <v>51000433768</v>
      </c>
      <c r="U118" s="4">
        <v>0</v>
      </c>
      <c r="V118" s="4">
        <v>0</v>
      </c>
      <c r="W118" s="4">
        <v>0</v>
      </c>
      <c r="X118" s="4">
        <v>902.04</v>
      </c>
      <c r="Y118" s="4">
        <v>8908.18</v>
      </c>
      <c r="Z118" s="4">
        <v>8006.14</v>
      </c>
      <c r="AA118" s="4" t="s">
        <v>35</v>
      </c>
    </row>
    <row r="119" spans="1:27" s="4" customFormat="1" x14ac:dyDescent="0.3">
      <c r="A119" s="4" t="s">
        <v>29</v>
      </c>
      <c r="B119" s="4">
        <v>5190704</v>
      </c>
      <c r="C119" s="4">
        <v>5190704</v>
      </c>
      <c r="D119" s="4" t="s">
        <v>252</v>
      </c>
      <c r="E119" s="4" t="s">
        <v>128</v>
      </c>
      <c r="F119" s="4" t="s">
        <v>253</v>
      </c>
      <c r="G119" s="5">
        <v>24190</v>
      </c>
      <c r="H119" s="4">
        <f>DAY(G119)</f>
        <v>24</v>
      </c>
      <c r="I119" s="4">
        <f>MONTH(G119)</f>
        <v>3</v>
      </c>
      <c r="J119" s="4">
        <f>YEAR(G119)</f>
        <v>1966</v>
      </c>
      <c r="K119" s="6">
        <v>6603246100064</v>
      </c>
      <c r="L119" s="5">
        <v>40725</v>
      </c>
      <c r="M119" s="5">
        <v>45474</v>
      </c>
      <c r="N119" s="5">
        <v>45838</v>
      </c>
      <c r="O119" s="4">
        <v>4157.03</v>
      </c>
      <c r="P119" s="4">
        <v>1</v>
      </c>
      <c r="Q119" s="4" t="s">
        <v>33</v>
      </c>
      <c r="R119" s="4" t="s">
        <v>34</v>
      </c>
      <c r="S119" s="4">
        <v>90001</v>
      </c>
      <c r="T119" s="4">
        <v>51000560514</v>
      </c>
      <c r="U119" s="4">
        <v>0</v>
      </c>
      <c r="V119" s="4">
        <v>0</v>
      </c>
      <c r="W119" s="4">
        <v>0</v>
      </c>
      <c r="X119" s="4">
        <v>0</v>
      </c>
      <c r="Y119" s="4">
        <v>4157.03</v>
      </c>
      <c r="Z119" s="4">
        <v>4157.03</v>
      </c>
      <c r="AA119" s="4" t="s">
        <v>35</v>
      </c>
    </row>
    <row r="120" spans="1:27" s="4" customFormat="1" x14ac:dyDescent="0.3">
      <c r="A120" s="4" t="s">
        <v>29</v>
      </c>
      <c r="B120" s="4">
        <v>5210156</v>
      </c>
      <c r="C120" s="4">
        <v>5210156</v>
      </c>
      <c r="D120" s="4" t="s">
        <v>214</v>
      </c>
      <c r="E120" s="4" t="s">
        <v>254</v>
      </c>
      <c r="F120" s="4" t="s">
        <v>255</v>
      </c>
      <c r="G120" s="5">
        <v>23810</v>
      </c>
      <c r="H120" s="4">
        <f>DAY(G120)</f>
        <v>9</v>
      </c>
      <c r="I120" s="4">
        <f>MONTH(G120)</f>
        <v>3</v>
      </c>
      <c r="J120" s="4">
        <f>YEAR(G120)</f>
        <v>1965</v>
      </c>
      <c r="K120" s="6">
        <v>6503096100018</v>
      </c>
      <c r="L120" s="5">
        <v>45748</v>
      </c>
      <c r="M120" s="5">
        <v>45748</v>
      </c>
      <c r="N120" s="5">
        <v>45838</v>
      </c>
      <c r="O120" s="4">
        <v>3390.85</v>
      </c>
      <c r="P120" s="4">
        <v>1</v>
      </c>
      <c r="Q120" s="4" t="s">
        <v>33</v>
      </c>
      <c r="R120" s="4" t="s">
        <v>34</v>
      </c>
      <c r="S120" s="4">
        <v>90001</v>
      </c>
      <c r="T120" s="4">
        <v>51001422573</v>
      </c>
      <c r="U120" s="4">
        <v>0</v>
      </c>
      <c r="V120" s="4">
        <v>0</v>
      </c>
      <c r="W120" s="4">
        <v>0</v>
      </c>
      <c r="X120" s="4">
        <v>0</v>
      </c>
      <c r="Y120" s="4">
        <v>3390.85</v>
      </c>
      <c r="Z120" s="4">
        <v>3390.85</v>
      </c>
      <c r="AA120" s="4" t="s">
        <v>35</v>
      </c>
    </row>
    <row r="121" spans="1:27" s="4" customFormat="1" x14ac:dyDescent="0.3">
      <c r="A121" s="4" t="s">
        <v>29</v>
      </c>
      <c r="B121" s="4">
        <v>5233621</v>
      </c>
      <c r="C121" s="4">
        <v>5233621</v>
      </c>
      <c r="D121" s="4" t="s">
        <v>256</v>
      </c>
      <c r="E121" s="4" t="s">
        <v>72</v>
      </c>
      <c r="F121" s="4" t="s">
        <v>211</v>
      </c>
      <c r="G121" s="5">
        <v>26369</v>
      </c>
      <c r="H121" s="4">
        <f>DAY(G121)</f>
        <v>11</v>
      </c>
      <c r="I121" s="4">
        <f>MONTH(G121)</f>
        <v>3</v>
      </c>
      <c r="J121" s="4">
        <f>YEAR(G121)</f>
        <v>1972</v>
      </c>
      <c r="K121" s="6">
        <v>430101005233621</v>
      </c>
      <c r="L121" s="5">
        <v>44621</v>
      </c>
      <c r="M121" s="5">
        <v>45474</v>
      </c>
      <c r="N121" s="5">
        <v>45838</v>
      </c>
      <c r="O121" s="4">
        <v>4293.8599999999997</v>
      </c>
      <c r="P121" s="4">
        <v>1</v>
      </c>
      <c r="Q121" s="4" t="s">
        <v>33</v>
      </c>
      <c r="R121" s="4" t="s">
        <v>34</v>
      </c>
      <c r="S121" s="4">
        <v>770003</v>
      </c>
      <c r="T121" s="4">
        <v>77400852618</v>
      </c>
      <c r="U121" s="4">
        <v>0</v>
      </c>
      <c r="V121" s="4">
        <v>0</v>
      </c>
      <c r="W121" s="4">
        <v>0</v>
      </c>
      <c r="X121" s="4">
        <v>175.43</v>
      </c>
      <c r="Y121" s="4">
        <v>4293.8599999999997</v>
      </c>
      <c r="Z121" s="4">
        <v>4118.43</v>
      </c>
      <c r="AA121" s="4" t="s">
        <v>35</v>
      </c>
    </row>
    <row r="122" spans="1:27" s="4" customFormat="1" x14ac:dyDescent="0.3">
      <c r="A122" s="4" t="s">
        <v>29</v>
      </c>
      <c r="B122" s="4">
        <v>5324266</v>
      </c>
      <c r="C122" s="4">
        <v>5324266</v>
      </c>
      <c r="D122" s="4" t="s">
        <v>30</v>
      </c>
      <c r="E122" s="4" t="s">
        <v>52</v>
      </c>
      <c r="F122" s="4" t="s">
        <v>239</v>
      </c>
      <c r="G122" s="5">
        <v>30757</v>
      </c>
      <c r="H122" s="4">
        <f>DAY(G122)</f>
        <v>16</v>
      </c>
      <c r="I122" s="4">
        <f>MONTH(G122)</f>
        <v>3</v>
      </c>
      <c r="J122" s="4">
        <f>YEAR(G122)</f>
        <v>1984</v>
      </c>
      <c r="K122" s="6">
        <v>8403166100097</v>
      </c>
      <c r="L122" s="5">
        <v>40544</v>
      </c>
      <c r="M122" s="5">
        <v>45444</v>
      </c>
      <c r="N122" s="5">
        <v>45838</v>
      </c>
      <c r="O122" s="4">
        <v>1920.57</v>
      </c>
      <c r="P122" s="4">
        <v>1</v>
      </c>
      <c r="Q122" s="4" t="s">
        <v>33</v>
      </c>
      <c r="R122" s="4" t="s">
        <v>34</v>
      </c>
      <c r="S122" s="4">
        <v>280164</v>
      </c>
      <c r="T122" s="4">
        <v>62155016415</v>
      </c>
      <c r="U122" s="4">
        <v>600</v>
      </c>
      <c r="V122" s="4">
        <v>0</v>
      </c>
      <c r="W122" s="4">
        <v>0</v>
      </c>
      <c r="X122" s="4">
        <v>0</v>
      </c>
      <c r="Y122" s="4">
        <v>1920.57</v>
      </c>
      <c r="Z122" s="4">
        <v>1320.57</v>
      </c>
      <c r="AA122" s="4" t="s">
        <v>35</v>
      </c>
    </row>
    <row r="123" spans="1:27" s="4" customFormat="1" x14ac:dyDescent="0.3">
      <c r="A123" s="4" t="s">
        <v>29</v>
      </c>
      <c r="B123" s="4">
        <v>5721917</v>
      </c>
      <c r="C123" s="4">
        <v>5721917</v>
      </c>
      <c r="D123" s="4" t="s">
        <v>118</v>
      </c>
      <c r="E123" s="4" t="s">
        <v>72</v>
      </c>
      <c r="F123" s="4" t="s">
        <v>257</v>
      </c>
      <c r="G123" s="5">
        <v>21624</v>
      </c>
      <c r="H123" s="4">
        <f>DAY(G123)</f>
        <v>15</v>
      </c>
      <c r="I123" s="4">
        <f>MONTH(G123)</f>
        <v>3</v>
      </c>
      <c r="J123" s="4">
        <f>YEAR(G123)</f>
        <v>1959</v>
      </c>
      <c r="K123" s="6">
        <v>430501005721917</v>
      </c>
      <c r="L123" s="5">
        <v>43556</v>
      </c>
      <c r="M123" s="5">
        <v>45474</v>
      </c>
      <c r="N123" s="5">
        <v>45838</v>
      </c>
      <c r="O123" s="4">
        <v>5637.98</v>
      </c>
      <c r="P123" s="4">
        <v>1</v>
      </c>
      <c r="Q123" s="4" t="s">
        <v>33</v>
      </c>
      <c r="R123" s="4" t="s">
        <v>34</v>
      </c>
      <c r="S123" s="4">
        <v>360264</v>
      </c>
      <c r="T123" s="4">
        <v>40000055068</v>
      </c>
      <c r="U123" s="4">
        <v>0</v>
      </c>
      <c r="V123" s="4">
        <v>0</v>
      </c>
      <c r="W123" s="4">
        <v>0</v>
      </c>
      <c r="X123" s="4">
        <v>219.26</v>
      </c>
      <c r="Y123" s="4">
        <v>5637.98</v>
      </c>
      <c r="Z123" s="4">
        <v>5418.72</v>
      </c>
      <c r="AA123" s="4" t="s">
        <v>35</v>
      </c>
    </row>
    <row r="124" spans="1:27" s="4" customFormat="1" x14ac:dyDescent="0.3">
      <c r="A124" s="4" t="s">
        <v>29</v>
      </c>
      <c r="B124" s="4">
        <v>580856</v>
      </c>
      <c r="C124" s="4">
        <v>580856</v>
      </c>
      <c r="D124" s="4" t="s">
        <v>258</v>
      </c>
      <c r="E124" s="4" t="s">
        <v>46</v>
      </c>
      <c r="F124" s="4" t="s">
        <v>259</v>
      </c>
      <c r="G124" s="5">
        <v>17241</v>
      </c>
      <c r="H124" s="4">
        <f>DAY(G124)</f>
        <v>15</v>
      </c>
      <c r="I124" s="4">
        <f>MONTH(G124)</f>
        <v>3</v>
      </c>
      <c r="J124" s="4">
        <f>YEAR(G124)</f>
        <v>1947</v>
      </c>
      <c r="K124" s="6">
        <v>4703156100013</v>
      </c>
      <c r="L124" s="5">
        <v>39203</v>
      </c>
      <c r="M124" s="5">
        <v>45474</v>
      </c>
      <c r="N124" s="5">
        <v>45838</v>
      </c>
      <c r="O124" s="4">
        <v>4268.79</v>
      </c>
      <c r="P124" s="4">
        <v>1</v>
      </c>
      <c r="Q124" s="4" t="s">
        <v>33</v>
      </c>
      <c r="R124" s="4" t="s">
        <v>34</v>
      </c>
      <c r="S124" s="4">
        <v>770002</v>
      </c>
      <c r="T124" s="4">
        <v>2040113091301</v>
      </c>
      <c r="U124" s="4">
        <v>0</v>
      </c>
      <c r="V124" s="4">
        <v>0</v>
      </c>
      <c r="W124" s="4">
        <v>0</v>
      </c>
      <c r="X124" s="4">
        <v>0</v>
      </c>
      <c r="Y124" s="4">
        <v>4268.79</v>
      </c>
      <c r="Z124" s="4">
        <v>4268.79</v>
      </c>
      <c r="AA124" s="4" t="s">
        <v>35</v>
      </c>
    </row>
    <row r="125" spans="1:27" s="4" customFormat="1" x14ac:dyDescent="0.3">
      <c r="A125" s="4" t="s">
        <v>29</v>
      </c>
      <c r="B125" s="4">
        <v>6059387</v>
      </c>
      <c r="C125" s="4">
        <v>6059387</v>
      </c>
      <c r="D125" s="4" t="s">
        <v>260</v>
      </c>
      <c r="E125" s="4" t="s">
        <v>79</v>
      </c>
      <c r="F125" s="4" t="s">
        <v>80</v>
      </c>
      <c r="G125" s="5">
        <v>17973</v>
      </c>
      <c r="H125" s="4">
        <f>DAY(G125)</f>
        <v>16</v>
      </c>
      <c r="I125" s="4">
        <f>MONTH(G125)</f>
        <v>3</v>
      </c>
      <c r="J125" s="4">
        <f>YEAR(G125)</f>
        <v>1949</v>
      </c>
      <c r="K125" s="6">
        <v>5103166100062</v>
      </c>
      <c r="L125" s="5">
        <v>39904</v>
      </c>
      <c r="M125" s="5">
        <v>45474</v>
      </c>
      <c r="N125" s="5">
        <v>45838</v>
      </c>
      <c r="O125" s="4">
        <v>17170.580000000002</v>
      </c>
      <c r="P125" s="4">
        <v>1</v>
      </c>
      <c r="Q125" s="4" t="s">
        <v>33</v>
      </c>
      <c r="R125" s="4" t="s">
        <v>34</v>
      </c>
      <c r="S125" s="4">
        <v>90005</v>
      </c>
      <c r="T125" s="4">
        <v>51000934597</v>
      </c>
      <c r="U125" s="4">
        <v>0</v>
      </c>
      <c r="V125" s="4">
        <v>0</v>
      </c>
      <c r="W125" s="4">
        <v>0</v>
      </c>
      <c r="X125" s="4">
        <v>3216.29</v>
      </c>
      <c r="Y125" s="4">
        <v>17170.580000000002</v>
      </c>
      <c r="Z125" s="4">
        <v>13954.29</v>
      </c>
      <c r="AA125" s="4" t="s">
        <v>35</v>
      </c>
    </row>
    <row r="126" spans="1:27" s="4" customFormat="1" x14ac:dyDescent="0.3">
      <c r="A126" s="4" t="s">
        <v>29</v>
      </c>
      <c r="B126" s="4">
        <v>6059514</v>
      </c>
      <c r="C126" s="4">
        <v>6059514</v>
      </c>
      <c r="D126" s="4" t="s">
        <v>96</v>
      </c>
      <c r="E126" s="4" t="s">
        <v>64</v>
      </c>
      <c r="F126" s="4" t="s">
        <v>261</v>
      </c>
      <c r="G126" s="5">
        <v>19067</v>
      </c>
      <c r="H126" s="4">
        <f>DAY(G126)</f>
        <v>14</v>
      </c>
      <c r="I126" s="4">
        <f>MONTH(G126)</f>
        <v>3</v>
      </c>
      <c r="J126" s="4">
        <f>YEAR(G126)</f>
        <v>1952</v>
      </c>
      <c r="K126" s="6">
        <v>5203146100065</v>
      </c>
      <c r="L126" s="5">
        <v>41000</v>
      </c>
      <c r="M126" s="5">
        <v>45474</v>
      </c>
      <c r="N126" s="5">
        <v>45838</v>
      </c>
      <c r="O126" s="4">
        <v>9579.61</v>
      </c>
      <c r="P126" s="4">
        <v>1</v>
      </c>
      <c r="Q126" s="4" t="s">
        <v>33</v>
      </c>
      <c r="R126" s="4" t="s">
        <v>34</v>
      </c>
      <c r="S126" s="4">
        <v>660964</v>
      </c>
      <c r="T126" s="4">
        <v>9110000310932</v>
      </c>
      <c r="U126" s="4">
        <v>0</v>
      </c>
      <c r="V126" s="4">
        <v>0</v>
      </c>
      <c r="W126" s="4">
        <v>0</v>
      </c>
      <c r="X126" s="4">
        <v>1069.9000000000001</v>
      </c>
      <c r="Y126" s="4">
        <v>9579.61</v>
      </c>
      <c r="Z126" s="4">
        <v>8509.7099999999991</v>
      </c>
      <c r="AA126" s="4" t="s">
        <v>35</v>
      </c>
    </row>
    <row r="127" spans="1:27" s="4" customFormat="1" x14ac:dyDescent="0.3">
      <c r="A127" s="4" t="s">
        <v>29</v>
      </c>
      <c r="B127" s="4">
        <v>6130590</v>
      </c>
      <c r="C127" s="4">
        <v>6130590</v>
      </c>
      <c r="D127" s="4" t="s">
        <v>118</v>
      </c>
      <c r="E127" s="4" t="s">
        <v>72</v>
      </c>
      <c r="F127" s="4" t="s">
        <v>262</v>
      </c>
      <c r="G127" s="5">
        <v>17617</v>
      </c>
      <c r="H127" s="4">
        <f>DAY(G127)</f>
        <v>25</v>
      </c>
      <c r="I127" s="4">
        <f>MONTH(G127)</f>
        <v>3</v>
      </c>
      <c r="J127" s="4">
        <f>YEAR(G127)</f>
        <v>1948</v>
      </c>
      <c r="K127" s="6">
        <v>4703036100191</v>
      </c>
      <c r="L127" s="5">
        <v>39539</v>
      </c>
      <c r="M127" s="5">
        <v>45444</v>
      </c>
      <c r="N127" s="5">
        <v>45838</v>
      </c>
      <c r="O127" s="4">
        <v>4028.35</v>
      </c>
      <c r="P127" s="4">
        <v>1</v>
      </c>
      <c r="Q127" s="4" t="s">
        <v>33</v>
      </c>
      <c r="R127" s="4" t="s">
        <v>34</v>
      </c>
      <c r="S127" s="4">
        <v>90001</v>
      </c>
      <c r="T127" s="4">
        <v>51000555375</v>
      </c>
      <c r="U127" s="4">
        <v>0</v>
      </c>
      <c r="V127" s="4">
        <v>0</v>
      </c>
      <c r="W127" s="4">
        <v>0</v>
      </c>
      <c r="X127" s="4">
        <v>0</v>
      </c>
      <c r="Y127" s="4">
        <v>4028.35</v>
      </c>
      <c r="Z127" s="4">
        <v>4028.35</v>
      </c>
      <c r="AA127" s="4" t="s">
        <v>35</v>
      </c>
    </row>
    <row r="128" spans="1:27" s="4" customFormat="1" x14ac:dyDescent="0.3">
      <c r="A128" s="4" t="s">
        <v>29</v>
      </c>
      <c r="B128" s="4">
        <v>6199957</v>
      </c>
      <c r="C128" s="4">
        <v>6199957</v>
      </c>
      <c r="D128" s="4" t="s">
        <v>66</v>
      </c>
      <c r="E128" s="4" t="s">
        <v>72</v>
      </c>
      <c r="F128" s="4" t="s">
        <v>38</v>
      </c>
      <c r="G128" s="5">
        <v>21611</v>
      </c>
      <c r="H128" s="4">
        <f>DAY(G128)</f>
        <v>2</v>
      </c>
      <c r="I128" s="4">
        <f>MONTH(G128)</f>
        <v>3</v>
      </c>
      <c r="J128" s="4">
        <f>YEAR(G128)</f>
        <v>1959</v>
      </c>
      <c r="K128" s="6">
        <v>540213006199957</v>
      </c>
      <c r="L128" s="5">
        <v>43556</v>
      </c>
      <c r="M128" s="5">
        <v>45474</v>
      </c>
      <c r="N128" s="5">
        <v>45838</v>
      </c>
      <c r="O128" s="4">
        <v>8369.14</v>
      </c>
      <c r="P128" s="4">
        <v>1</v>
      </c>
      <c r="Q128" s="4" t="s">
        <v>33</v>
      </c>
      <c r="R128" s="4" t="s">
        <v>34</v>
      </c>
      <c r="S128" s="4">
        <v>660964</v>
      </c>
      <c r="T128" s="4">
        <v>9110000286942</v>
      </c>
      <c r="U128" s="4">
        <v>0</v>
      </c>
      <c r="V128" s="4">
        <v>0</v>
      </c>
      <c r="W128" s="4">
        <v>0</v>
      </c>
      <c r="X128" s="4">
        <v>767.28</v>
      </c>
      <c r="Y128" s="4">
        <v>8369.14</v>
      </c>
      <c r="Z128" s="4">
        <v>7601.86</v>
      </c>
      <c r="AA128" s="4" t="s">
        <v>35</v>
      </c>
    </row>
    <row r="129" spans="1:27" s="4" customFormat="1" x14ac:dyDescent="0.3">
      <c r="A129" s="4" t="s">
        <v>29</v>
      </c>
      <c r="B129" s="4">
        <v>6230229</v>
      </c>
      <c r="C129" s="4">
        <v>6230229</v>
      </c>
      <c r="D129" s="4" t="s">
        <v>247</v>
      </c>
      <c r="E129" s="4" t="s">
        <v>72</v>
      </c>
      <c r="F129" s="4" t="s">
        <v>263</v>
      </c>
      <c r="G129" s="5">
        <v>22711</v>
      </c>
      <c r="H129" s="4">
        <f>DAY(G129)</f>
        <v>6</v>
      </c>
      <c r="I129" s="4">
        <f>MONTH(G129)</f>
        <v>3</v>
      </c>
      <c r="J129" s="4">
        <f>YEAR(G129)</f>
        <v>1962</v>
      </c>
      <c r="K129" s="6">
        <v>6203066100128</v>
      </c>
      <c r="L129" s="5">
        <v>44652</v>
      </c>
      <c r="M129" s="5">
        <v>45474</v>
      </c>
      <c r="N129" s="5">
        <v>45838</v>
      </c>
      <c r="O129" s="4">
        <v>15701.11</v>
      </c>
      <c r="P129" s="4">
        <v>1</v>
      </c>
      <c r="Q129" s="4" t="s">
        <v>33</v>
      </c>
      <c r="R129" s="4" t="s">
        <v>34</v>
      </c>
      <c r="S129" s="4">
        <v>770001</v>
      </c>
      <c r="T129" s="4">
        <v>77400757707</v>
      </c>
      <c r="U129" s="4">
        <v>0</v>
      </c>
      <c r="V129" s="4">
        <v>0</v>
      </c>
      <c r="W129" s="4">
        <v>0</v>
      </c>
      <c r="X129" s="4">
        <v>2760.33</v>
      </c>
      <c r="Y129" s="4">
        <v>15701.11</v>
      </c>
      <c r="Z129" s="4">
        <v>12940.78</v>
      </c>
      <c r="AA129" s="4" t="s">
        <v>35</v>
      </c>
    </row>
    <row r="130" spans="1:27" s="4" customFormat="1" x14ac:dyDescent="0.3">
      <c r="A130" s="4" t="s">
        <v>29</v>
      </c>
      <c r="B130" s="4">
        <v>6288734</v>
      </c>
      <c r="C130" s="4">
        <v>6288734</v>
      </c>
      <c r="D130" s="4" t="s">
        <v>149</v>
      </c>
      <c r="E130" s="4" t="s">
        <v>72</v>
      </c>
      <c r="F130" s="4" t="s">
        <v>264</v>
      </c>
      <c r="G130" s="5">
        <v>23078</v>
      </c>
      <c r="H130" s="4">
        <f>DAY(G130)</f>
        <v>8</v>
      </c>
      <c r="I130" s="4">
        <f>MONTH(G130)</f>
        <v>3</v>
      </c>
      <c r="J130" s="4">
        <f>YEAR(G130)</f>
        <v>1963</v>
      </c>
      <c r="K130" s="6">
        <v>6303086100072</v>
      </c>
      <c r="L130" s="5">
        <v>45017</v>
      </c>
      <c r="M130" s="5">
        <v>45474</v>
      </c>
      <c r="N130" s="5">
        <v>45838</v>
      </c>
      <c r="O130" s="4">
        <v>12910.35</v>
      </c>
      <c r="P130" s="4">
        <v>1</v>
      </c>
      <c r="Q130" s="4" t="s">
        <v>33</v>
      </c>
      <c r="R130" s="4" t="s">
        <v>34</v>
      </c>
      <c r="S130" s="4">
        <v>660964</v>
      </c>
      <c r="T130" s="4">
        <v>9110003430491</v>
      </c>
      <c r="U130" s="4">
        <v>0</v>
      </c>
      <c r="V130" s="4">
        <v>0</v>
      </c>
      <c r="W130" s="4">
        <v>0</v>
      </c>
      <c r="X130" s="4">
        <v>1923.1</v>
      </c>
      <c r="Y130" s="4">
        <v>12910.35</v>
      </c>
      <c r="Z130" s="4">
        <v>10987.25</v>
      </c>
      <c r="AA130" s="4" t="s">
        <v>35</v>
      </c>
    </row>
    <row r="131" spans="1:27" s="4" customFormat="1" x14ac:dyDescent="0.3">
      <c r="A131" s="4" t="s">
        <v>29</v>
      </c>
      <c r="B131" s="4">
        <v>6339335</v>
      </c>
      <c r="C131" s="4">
        <v>6339335</v>
      </c>
      <c r="D131" s="4" t="s">
        <v>96</v>
      </c>
      <c r="E131" s="4" t="s">
        <v>52</v>
      </c>
      <c r="F131" s="4" t="s">
        <v>265</v>
      </c>
      <c r="G131" s="5">
        <v>24176</v>
      </c>
      <c r="H131" s="4">
        <f>DAY(G131)</f>
        <v>10</v>
      </c>
      <c r="I131" s="4">
        <f>MONTH(G131)</f>
        <v>3</v>
      </c>
      <c r="J131" s="4">
        <f>YEAR(G131)</f>
        <v>1966</v>
      </c>
      <c r="K131" s="6">
        <v>546001006339335</v>
      </c>
      <c r="L131" s="5">
        <v>44562</v>
      </c>
      <c r="M131" s="5">
        <v>45474</v>
      </c>
      <c r="N131" s="5">
        <v>45838</v>
      </c>
      <c r="O131" s="4">
        <v>12294.29</v>
      </c>
      <c r="P131" s="4">
        <v>1</v>
      </c>
      <c r="Q131" s="4" t="s">
        <v>33</v>
      </c>
      <c r="R131" s="4" t="s">
        <v>34</v>
      </c>
      <c r="S131" s="4">
        <v>661164</v>
      </c>
      <c r="T131" s="4">
        <v>9110004045869</v>
      </c>
      <c r="U131" s="4">
        <v>0</v>
      </c>
      <c r="V131" s="4">
        <v>0</v>
      </c>
      <c r="W131" s="4">
        <v>0</v>
      </c>
      <c r="X131" s="4">
        <v>1748.57</v>
      </c>
      <c r="Y131" s="4">
        <v>12294.29</v>
      </c>
      <c r="Z131" s="4">
        <v>10545.72</v>
      </c>
      <c r="AA131" s="4" t="s">
        <v>35</v>
      </c>
    </row>
    <row r="132" spans="1:27" s="4" customFormat="1" x14ac:dyDescent="0.3">
      <c r="A132" s="4" t="s">
        <v>29</v>
      </c>
      <c r="B132" s="4">
        <v>6873488</v>
      </c>
      <c r="C132" s="4">
        <v>6873488</v>
      </c>
      <c r="D132" s="4" t="s">
        <v>30</v>
      </c>
      <c r="E132" s="4" t="s">
        <v>64</v>
      </c>
      <c r="F132" s="4" t="s">
        <v>193</v>
      </c>
      <c r="G132" s="5">
        <v>31133</v>
      </c>
      <c r="H132" s="4">
        <f>DAY(G132)</f>
        <v>27</v>
      </c>
      <c r="I132" s="4">
        <f>MONTH(G132)</f>
        <v>3</v>
      </c>
      <c r="J132" s="4">
        <f>YEAR(G132)</f>
        <v>1985</v>
      </c>
      <c r="K132" s="6">
        <v>8503276100117</v>
      </c>
      <c r="L132" s="5">
        <v>44440</v>
      </c>
      <c r="M132" s="5">
        <v>45474</v>
      </c>
      <c r="N132" s="5">
        <v>45838</v>
      </c>
      <c r="O132" s="4">
        <v>2400.35</v>
      </c>
      <c r="P132" s="4">
        <v>1</v>
      </c>
      <c r="Q132" s="4" t="s">
        <v>33</v>
      </c>
      <c r="R132" s="4" t="s">
        <v>34</v>
      </c>
      <c r="S132" s="4">
        <v>90001</v>
      </c>
      <c r="T132" s="4">
        <v>52000319416</v>
      </c>
      <c r="U132" s="4">
        <v>0</v>
      </c>
      <c r="V132" s="4">
        <v>0</v>
      </c>
      <c r="W132" s="4">
        <v>0</v>
      </c>
      <c r="X132" s="4">
        <v>0</v>
      </c>
      <c r="Y132" s="4">
        <v>2400.35</v>
      </c>
      <c r="Z132" s="4">
        <v>2400.35</v>
      </c>
      <c r="AA132" s="4" t="s">
        <v>35</v>
      </c>
    </row>
    <row r="133" spans="1:27" s="4" customFormat="1" x14ac:dyDescent="0.3">
      <c r="A133" s="4" t="s">
        <v>29</v>
      </c>
      <c r="B133" s="4">
        <v>7066616</v>
      </c>
      <c r="C133" s="4">
        <v>7066616</v>
      </c>
      <c r="D133" s="4" t="s">
        <v>266</v>
      </c>
      <c r="E133" s="4" t="s">
        <v>87</v>
      </c>
      <c r="F133" s="4" t="s">
        <v>267</v>
      </c>
      <c r="G133" s="5">
        <v>19082</v>
      </c>
      <c r="H133" s="4">
        <f>DAY(G133)</f>
        <v>29</v>
      </c>
      <c r="I133" s="4">
        <f>MONTH(G133)</f>
        <v>3</v>
      </c>
      <c r="J133" s="4">
        <f>YEAR(G133)</f>
        <v>1952</v>
      </c>
      <c r="K133" s="6">
        <v>5201296100042</v>
      </c>
      <c r="L133" s="5">
        <v>41000</v>
      </c>
      <c r="M133" s="5">
        <v>45474</v>
      </c>
      <c r="N133" s="5">
        <v>45838</v>
      </c>
      <c r="O133" s="4">
        <v>7964.16</v>
      </c>
      <c r="P133" s="4">
        <v>1</v>
      </c>
      <c r="Q133" s="4" t="s">
        <v>33</v>
      </c>
      <c r="R133" s="4" t="s">
        <v>34</v>
      </c>
      <c r="S133" s="4">
        <v>660564</v>
      </c>
      <c r="T133" s="4">
        <v>9110000218742</v>
      </c>
      <c r="U133" s="4">
        <v>0</v>
      </c>
      <c r="V133" s="4">
        <v>0</v>
      </c>
      <c r="W133" s="4">
        <v>0</v>
      </c>
      <c r="X133" s="4">
        <v>684.49</v>
      </c>
      <c r="Y133" s="4">
        <v>7964.16</v>
      </c>
      <c r="Z133" s="4">
        <v>7279.67</v>
      </c>
      <c r="AA133" s="4" t="s">
        <v>35</v>
      </c>
    </row>
    <row r="134" spans="1:27" s="4" customFormat="1" x14ac:dyDescent="0.3">
      <c r="A134" s="4" t="s">
        <v>29</v>
      </c>
      <c r="B134" s="4">
        <v>7076378</v>
      </c>
      <c r="C134" s="4">
        <v>7076378</v>
      </c>
      <c r="D134" s="4" t="s">
        <v>268</v>
      </c>
      <c r="E134" s="4" t="s">
        <v>31</v>
      </c>
      <c r="F134" s="4" t="s">
        <v>269</v>
      </c>
      <c r="G134" s="5">
        <v>20167</v>
      </c>
      <c r="H134" s="4">
        <f>DAY(G134)</f>
        <v>19</v>
      </c>
      <c r="I134" s="4">
        <f>MONTH(G134)</f>
        <v>3</v>
      </c>
      <c r="J134" s="4">
        <f>YEAR(G134)</f>
        <v>1955</v>
      </c>
      <c r="K134" s="6">
        <v>5503191100039</v>
      </c>
      <c r="L134" s="5">
        <v>42095</v>
      </c>
      <c r="M134" s="5">
        <v>45474</v>
      </c>
      <c r="N134" s="5">
        <v>45838</v>
      </c>
      <c r="O134" s="4">
        <v>5142.8500000000004</v>
      </c>
      <c r="P134" s="4">
        <v>1</v>
      </c>
      <c r="Q134" s="4" t="s">
        <v>33</v>
      </c>
      <c r="R134" s="4" t="s">
        <v>34</v>
      </c>
      <c r="S134" s="4">
        <v>770002</v>
      </c>
      <c r="T134" s="4">
        <v>77014068028</v>
      </c>
      <c r="U134" s="4">
        <v>0</v>
      </c>
      <c r="V134" s="4">
        <v>0</v>
      </c>
      <c r="W134" s="4">
        <v>0</v>
      </c>
      <c r="X134" s="4">
        <v>120.23</v>
      </c>
      <c r="Y134" s="4">
        <v>5142.8500000000004</v>
      </c>
      <c r="Z134" s="4">
        <v>5022.62</v>
      </c>
      <c r="AA134" s="4" t="s">
        <v>35</v>
      </c>
    </row>
    <row r="135" spans="1:27" s="4" customFormat="1" x14ac:dyDescent="0.3">
      <c r="A135" s="4" t="s">
        <v>29</v>
      </c>
      <c r="B135" s="4">
        <v>7087251</v>
      </c>
      <c r="C135" s="4">
        <v>7087251</v>
      </c>
      <c r="D135" s="4" t="s">
        <v>86</v>
      </c>
      <c r="E135" s="4" t="s">
        <v>72</v>
      </c>
      <c r="F135" s="4" t="s">
        <v>270</v>
      </c>
      <c r="G135" s="5">
        <v>21993</v>
      </c>
      <c r="H135" s="4">
        <f>DAY(G135)</f>
        <v>18</v>
      </c>
      <c r="I135" s="4">
        <f>MONTH(G135)</f>
        <v>3</v>
      </c>
      <c r="J135" s="4">
        <f>YEAR(G135)</f>
        <v>1960</v>
      </c>
      <c r="K135" s="6">
        <v>650702007087251</v>
      </c>
      <c r="L135" s="5">
        <v>43922</v>
      </c>
      <c r="M135" s="5">
        <v>45474</v>
      </c>
      <c r="N135" s="5">
        <v>45838</v>
      </c>
      <c r="O135" s="4">
        <v>4978.29</v>
      </c>
      <c r="P135" s="4">
        <v>1</v>
      </c>
      <c r="Q135" s="4" t="s">
        <v>33</v>
      </c>
      <c r="R135" s="4" t="s">
        <v>34</v>
      </c>
      <c r="S135" s="4">
        <v>770003</v>
      </c>
      <c r="T135" s="4">
        <v>77400545726</v>
      </c>
      <c r="U135" s="4">
        <v>0</v>
      </c>
      <c r="V135" s="4">
        <v>0</v>
      </c>
      <c r="W135" s="4">
        <v>0</v>
      </c>
      <c r="X135" s="4">
        <v>87.32</v>
      </c>
      <c r="Y135" s="4">
        <v>4978.29</v>
      </c>
      <c r="Z135" s="4">
        <v>4890.97</v>
      </c>
      <c r="AA135" s="4" t="s">
        <v>35</v>
      </c>
    </row>
    <row r="136" spans="1:27" s="4" customFormat="1" x14ac:dyDescent="0.3">
      <c r="A136" s="4" t="s">
        <v>29</v>
      </c>
      <c r="B136" s="4">
        <v>7090002</v>
      </c>
      <c r="C136" s="4">
        <v>7090002</v>
      </c>
      <c r="D136" s="4" t="s">
        <v>271</v>
      </c>
      <c r="E136" s="4" t="s">
        <v>272</v>
      </c>
      <c r="F136" s="4" t="s">
        <v>273</v>
      </c>
      <c r="G136" s="5">
        <v>21630</v>
      </c>
      <c r="H136" s="4">
        <f>DAY(G136)</f>
        <v>21</v>
      </c>
      <c r="I136" s="4">
        <f>MONTH(G136)</f>
        <v>3</v>
      </c>
      <c r="J136" s="4">
        <f>YEAR(G136)</f>
        <v>1959</v>
      </c>
      <c r="K136" s="6">
        <v>651401007090002</v>
      </c>
      <c r="L136" s="5">
        <v>43556</v>
      </c>
      <c r="M136" s="5">
        <v>45474</v>
      </c>
      <c r="N136" s="5">
        <v>45838</v>
      </c>
      <c r="O136" s="4">
        <v>6080.36</v>
      </c>
      <c r="P136" s="4">
        <v>1</v>
      </c>
      <c r="Q136" s="4" t="s">
        <v>33</v>
      </c>
      <c r="R136" s="4" t="s">
        <v>34</v>
      </c>
      <c r="S136" s="4">
        <v>660564</v>
      </c>
      <c r="T136" s="4">
        <v>9110000994424</v>
      </c>
      <c r="U136" s="4">
        <v>0</v>
      </c>
      <c r="V136" s="4">
        <v>0</v>
      </c>
      <c r="W136" s="4">
        <v>0</v>
      </c>
      <c r="X136" s="4">
        <v>307.73</v>
      </c>
      <c r="Y136" s="4">
        <v>6080.36</v>
      </c>
      <c r="Z136" s="4">
        <v>5772.63</v>
      </c>
      <c r="AA136" s="4" t="s">
        <v>35</v>
      </c>
    </row>
    <row r="137" spans="1:27" s="4" customFormat="1" x14ac:dyDescent="0.3">
      <c r="A137" s="4" t="s">
        <v>29</v>
      </c>
      <c r="B137" s="4">
        <v>7107359</v>
      </c>
      <c r="C137" s="4">
        <v>7107359</v>
      </c>
      <c r="D137" s="4" t="s">
        <v>39</v>
      </c>
      <c r="E137" s="4" t="s">
        <v>46</v>
      </c>
      <c r="F137" s="4" t="s">
        <v>274</v>
      </c>
      <c r="G137" s="5">
        <v>22715</v>
      </c>
      <c r="H137" s="4">
        <f>DAY(G137)</f>
        <v>10</v>
      </c>
      <c r="I137" s="4">
        <f>MONTH(G137)</f>
        <v>3</v>
      </c>
      <c r="J137" s="4">
        <f>YEAR(G137)</f>
        <v>1962</v>
      </c>
      <c r="K137" s="6">
        <v>6203106100476</v>
      </c>
      <c r="L137" s="5">
        <v>44652</v>
      </c>
      <c r="M137" s="5">
        <v>45474</v>
      </c>
      <c r="N137" s="5">
        <v>45838</v>
      </c>
      <c r="O137" s="4">
        <v>4222.03</v>
      </c>
      <c r="P137" s="4">
        <v>1</v>
      </c>
      <c r="Q137" s="4" t="s">
        <v>33</v>
      </c>
      <c r="R137" s="4" t="s">
        <v>34</v>
      </c>
      <c r="S137" s="4">
        <v>770003</v>
      </c>
      <c r="T137" s="4">
        <v>77400355568</v>
      </c>
      <c r="U137" s="4">
        <v>0</v>
      </c>
      <c r="V137" s="4">
        <v>0</v>
      </c>
      <c r="W137" s="4">
        <v>0</v>
      </c>
      <c r="X137" s="4">
        <v>0</v>
      </c>
      <c r="Y137" s="4">
        <v>4222.03</v>
      </c>
      <c r="Z137" s="4">
        <v>4222.03</v>
      </c>
      <c r="AA137" s="4" t="s">
        <v>35</v>
      </c>
    </row>
    <row r="138" spans="1:27" s="4" customFormat="1" x14ac:dyDescent="0.3">
      <c r="A138" s="4" t="s">
        <v>29</v>
      </c>
      <c r="B138" s="4">
        <v>7111943</v>
      </c>
      <c r="C138" s="4">
        <v>7111943</v>
      </c>
      <c r="D138" s="4" t="s">
        <v>268</v>
      </c>
      <c r="E138" s="4" t="s">
        <v>79</v>
      </c>
      <c r="F138" s="4" t="s">
        <v>275</v>
      </c>
      <c r="G138" s="5">
        <v>21258</v>
      </c>
      <c r="H138" s="4">
        <f>DAY(G138)</f>
        <v>14</v>
      </c>
      <c r="I138" s="4">
        <f>MONTH(G138)</f>
        <v>3</v>
      </c>
      <c r="J138" s="4">
        <f>YEAR(G138)</f>
        <v>1958</v>
      </c>
      <c r="K138" s="6">
        <v>5810101101308</v>
      </c>
      <c r="L138" s="5">
        <v>40299</v>
      </c>
      <c r="M138" s="5">
        <v>45474</v>
      </c>
      <c r="N138" s="5">
        <v>45838</v>
      </c>
      <c r="O138" s="4">
        <v>1920.55</v>
      </c>
      <c r="P138" s="4">
        <v>1</v>
      </c>
      <c r="Q138" s="4" t="s">
        <v>33</v>
      </c>
      <c r="R138" s="4" t="s">
        <v>34</v>
      </c>
      <c r="S138" s="4">
        <v>282064</v>
      </c>
      <c r="T138" s="4">
        <v>62408345008</v>
      </c>
      <c r="U138" s="4">
        <v>0</v>
      </c>
      <c r="V138" s="4">
        <v>0</v>
      </c>
      <c r="W138" s="4">
        <v>0</v>
      </c>
      <c r="X138" s="4">
        <v>0</v>
      </c>
      <c r="Y138" s="4">
        <v>1920.55</v>
      </c>
      <c r="Z138" s="4">
        <v>1920.55</v>
      </c>
      <c r="AA138" s="4" t="s">
        <v>35</v>
      </c>
    </row>
    <row r="139" spans="1:27" s="4" customFormat="1" x14ac:dyDescent="0.3">
      <c r="A139" s="4" t="s">
        <v>29</v>
      </c>
      <c r="B139" s="4">
        <v>7124402</v>
      </c>
      <c r="C139" s="4">
        <v>7124402</v>
      </c>
      <c r="D139" s="4" t="s">
        <v>276</v>
      </c>
      <c r="E139" s="4" t="s">
        <v>37</v>
      </c>
      <c r="F139" s="4" t="s">
        <v>277</v>
      </c>
      <c r="G139" s="5">
        <v>21987</v>
      </c>
      <c r="H139" s="4">
        <f>DAY(G139)</f>
        <v>12</v>
      </c>
      <c r="I139" s="4">
        <f>MONTH(G139)</f>
        <v>3</v>
      </c>
      <c r="J139" s="4">
        <f>YEAR(G139)</f>
        <v>1960</v>
      </c>
      <c r="K139" s="6">
        <v>650605007124402</v>
      </c>
      <c r="L139" s="5">
        <v>43922</v>
      </c>
      <c r="M139" s="5">
        <v>45474</v>
      </c>
      <c r="N139" s="5">
        <v>45838</v>
      </c>
      <c r="O139" s="4">
        <v>9268.36</v>
      </c>
      <c r="P139" s="4">
        <v>1</v>
      </c>
      <c r="Q139" s="4" t="s">
        <v>33</v>
      </c>
      <c r="R139" s="4" t="s">
        <v>34</v>
      </c>
      <c r="S139" s="4">
        <v>660964</v>
      </c>
      <c r="T139" s="4">
        <v>9110003389610</v>
      </c>
      <c r="U139" s="4">
        <v>20</v>
      </c>
      <c r="V139" s="4">
        <v>0</v>
      </c>
      <c r="W139" s="4">
        <v>0</v>
      </c>
      <c r="X139" s="4">
        <v>992.09</v>
      </c>
      <c r="Y139" s="4">
        <v>9268.36</v>
      </c>
      <c r="Z139" s="4">
        <v>8256.27</v>
      </c>
      <c r="AA139" s="4" t="s">
        <v>35</v>
      </c>
    </row>
    <row r="140" spans="1:27" s="4" customFormat="1" x14ac:dyDescent="0.3">
      <c r="A140" s="4" t="s">
        <v>29</v>
      </c>
      <c r="B140" s="4">
        <v>7130634</v>
      </c>
      <c r="C140" s="4">
        <v>7130634</v>
      </c>
      <c r="D140" s="4" t="s">
        <v>96</v>
      </c>
      <c r="E140" s="4" t="s">
        <v>37</v>
      </c>
      <c r="F140" s="4" t="s">
        <v>278</v>
      </c>
      <c r="G140" s="5">
        <v>22366</v>
      </c>
      <c r="H140" s="4">
        <f>DAY(G140)</f>
        <v>26</v>
      </c>
      <c r="I140" s="4">
        <f>MONTH(G140)</f>
        <v>3</v>
      </c>
      <c r="J140" s="4">
        <f>YEAR(G140)</f>
        <v>1961</v>
      </c>
      <c r="K140" s="6">
        <v>650605007130634</v>
      </c>
      <c r="L140" s="5">
        <v>44287</v>
      </c>
      <c r="M140" s="5">
        <v>45474</v>
      </c>
      <c r="N140" s="5">
        <v>45838</v>
      </c>
      <c r="O140" s="4">
        <v>10348.58</v>
      </c>
      <c r="P140" s="4">
        <v>1</v>
      </c>
      <c r="Q140" s="4" t="s">
        <v>33</v>
      </c>
      <c r="R140" s="4" t="s">
        <v>34</v>
      </c>
      <c r="S140" s="4">
        <v>90001</v>
      </c>
      <c r="T140" s="4">
        <v>51000913611</v>
      </c>
      <c r="U140" s="4">
        <v>20</v>
      </c>
      <c r="V140" s="4">
        <v>0</v>
      </c>
      <c r="W140" s="4">
        <v>0</v>
      </c>
      <c r="X140" s="4">
        <v>1262.1400000000001</v>
      </c>
      <c r="Y140" s="4">
        <v>10348.58</v>
      </c>
      <c r="Z140" s="4">
        <v>9066.44</v>
      </c>
      <c r="AA140" s="4" t="s">
        <v>35</v>
      </c>
    </row>
    <row r="141" spans="1:27" s="4" customFormat="1" x14ac:dyDescent="0.3">
      <c r="A141" s="4" t="s">
        <v>29</v>
      </c>
      <c r="B141" s="4">
        <v>7141469</v>
      </c>
      <c r="C141" s="4">
        <v>7141469</v>
      </c>
      <c r="D141" s="4" t="s">
        <v>96</v>
      </c>
      <c r="E141" s="4" t="s">
        <v>131</v>
      </c>
      <c r="F141" s="4" t="s">
        <v>279</v>
      </c>
      <c r="G141" s="5">
        <v>21261</v>
      </c>
      <c r="H141" s="4">
        <f>DAY(G141)</f>
        <v>17</v>
      </c>
      <c r="I141" s="4">
        <f>MONTH(G141)</f>
        <v>3</v>
      </c>
      <c r="J141" s="4">
        <f>YEAR(G141)</f>
        <v>1958</v>
      </c>
      <c r="K141" s="6">
        <v>5803171100136</v>
      </c>
      <c r="L141" s="5">
        <v>43191</v>
      </c>
      <c r="M141" s="5">
        <v>45474</v>
      </c>
      <c r="N141" s="5">
        <v>45838</v>
      </c>
      <c r="O141" s="4">
        <v>5242.5</v>
      </c>
      <c r="P141" s="4">
        <v>1</v>
      </c>
      <c r="Q141" s="4" t="s">
        <v>33</v>
      </c>
      <c r="R141" s="4" t="s">
        <v>34</v>
      </c>
      <c r="S141" s="4">
        <v>660964</v>
      </c>
      <c r="T141" s="4">
        <v>9110003401041</v>
      </c>
      <c r="U141" s="4">
        <v>20</v>
      </c>
      <c r="V141" s="4">
        <v>0</v>
      </c>
      <c r="W141" s="4">
        <v>0</v>
      </c>
      <c r="X141" s="4">
        <v>140.16</v>
      </c>
      <c r="Y141" s="4">
        <v>5242.5</v>
      </c>
      <c r="Z141" s="4">
        <v>5082.34</v>
      </c>
      <c r="AA141" s="4" t="s">
        <v>35</v>
      </c>
    </row>
    <row r="142" spans="1:27" s="4" customFormat="1" x14ac:dyDescent="0.3">
      <c r="A142" s="4" t="s">
        <v>29</v>
      </c>
      <c r="B142" s="4">
        <v>7152768</v>
      </c>
      <c r="C142" s="4">
        <v>7152768</v>
      </c>
      <c r="D142" s="4" t="s">
        <v>66</v>
      </c>
      <c r="E142" s="4" t="s">
        <v>280</v>
      </c>
      <c r="F142" s="4" t="s">
        <v>281</v>
      </c>
      <c r="G142" s="5">
        <v>23830</v>
      </c>
      <c r="H142" s="4">
        <f>DAY(G142)</f>
        <v>29</v>
      </c>
      <c r="I142" s="4">
        <f>MONTH(G142)</f>
        <v>3</v>
      </c>
      <c r="J142" s="4">
        <f>YEAR(G142)</f>
        <v>1965</v>
      </c>
      <c r="K142" s="6">
        <v>6503296100016</v>
      </c>
      <c r="L142" s="5">
        <v>45748</v>
      </c>
      <c r="M142" s="5">
        <v>45748</v>
      </c>
      <c r="N142" s="5">
        <v>45838</v>
      </c>
      <c r="O142" s="4">
        <v>28453.46</v>
      </c>
      <c r="P142" s="4">
        <v>1</v>
      </c>
      <c r="Q142" s="4" t="s">
        <v>33</v>
      </c>
      <c r="R142" s="4" t="s">
        <v>34</v>
      </c>
      <c r="S142" s="4">
        <v>660564</v>
      </c>
      <c r="T142" s="4">
        <v>9110002626074</v>
      </c>
      <c r="U142" s="4">
        <v>62.5</v>
      </c>
      <c r="V142" s="4">
        <v>0</v>
      </c>
      <c r="W142" s="4">
        <v>0</v>
      </c>
      <c r="X142" s="4">
        <v>6939.64</v>
      </c>
      <c r="Y142" s="4">
        <v>28453.46</v>
      </c>
      <c r="Z142" s="4">
        <v>21451.32</v>
      </c>
      <c r="AA142" s="4" t="s">
        <v>35</v>
      </c>
    </row>
    <row r="143" spans="1:27" s="4" customFormat="1" x14ac:dyDescent="0.3">
      <c r="A143" s="4" t="s">
        <v>29</v>
      </c>
      <c r="B143" s="4">
        <v>7157622</v>
      </c>
      <c r="C143" s="4">
        <v>7157622</v>
      </c>
      <c r="D143" s="4" t="s">
        <v>282</v>
      </c>
      <c r="E143" s="4" t="s">
        <v>100</v>
      </c>
      <c r="F143" s="4" t="s">
        <v>283</v>
      </c>
      <c r="G143" s="5">
        <v>23085</v>
      </c>
      <c r="H143" s="4">
        <f>DAY(G143)</f>
        <v>15</v>
      </c>
      <c r="I143" s="4">
        <f>MONTH(G143)</f>
        <v>3</v>
      </c>
      <c r="J143" s="4">
        <f>YEAR(G143)</f>
        <v>1963</v>
      </c>
      <c r="K143" s="6">
        <v>6303151100130</v>
      </c>
      <c r="L143" s="5">
        <v>44621</v>
      </c>
      <c r="M143" s="5">
        <v>45474</v>
      </c>
      <c r="N143" s="5">
        <v>45838</v>
      </c>
      <c r="O143" s="4">
        <v>9912.1200000000008</v>
      </c>
      <c r="P143" s="4">
        <v>1</v>
      </c>
      <c r="Q143" s="4" t="s">
        <v>33</v>
      </c>
      <c r="R143" s="4" t="s">
        <v>34</v>
      </c>
      <c r="S143" s="4">
        <v>360264</v>
      </c>
      <c r="T143" s="4">
        <v>40000038786</v>
      </c>
      <c r="U143" s="4">
        <v>20</v>
      </c>
      <c r="V143" s="4">
        <v>0</v>
      </c>
      <c r="W143" s="4">
        <v>0</v>
      </c>
      <c r="X143" s="4">
        <v>1153.03</v>
      </c>
      <c r="Y143" s="4">
        <v>9912.1200000000008</v>
      </c>
      <c r="Z143" s="4">
        <v>8739.09</v>
      </c>
      <c r="AA143" s="4" t="s">
        <v>35</v>
      </c>
    </row>
    <row r="144" spans="1:27" s="4" customFormat="1" x14ac:dyDescent="0.3">
      <c r="A144" s="4" t="s">
        <v>29</v>
      </c>
      <c r="B144" s="4">
        <v>7157866</v>
      </c>
      <c r="C144" s="4">
        <v>7157866</v>
      </c>
      <c r="D144" s="4" t="s">
        <v>66</v>
      </c>
      <c r="E144" s="4" t="s">
        <v>72</v>
      </c>
      <c r="F144" s="4" t="s">
        <v>284</v>
      </c>
      <c r="G144" s="5">
        <v>22345</v>
      </c>
      <c r="H144" s="4">
        <f>DAY(G144)</f>
        <v>5</v>
      </c>
      <c r="I144" s="4">
        <f>MONTH(G144)</f>
        <v>3</v>
      </c>
      <c r="J144" s="4">
        <f>YEAR(G144)</f>
        <v>1961</v>
      </c>
      <c r="K144" s="6">
        <v>6305051100060</v>
      </c>
      <c r="L144" s="5">
        <v>44287</v>
      </c>
      <c r="M144" s="5">
        <v>45474</v>
      </c>
      <c r="N144" s="5">
        <v>45838</v>
      </c>
      <c r="O144" s="4">
        <v>4915.13</v>
      </c>
      <c r="P144" s="4">
        <v>1</v>
      </c>
      <c r="Q144" s="4" t="s">
        <v>33</v>
      </c>
      <c r="R144" s="4" t="s">
        <v>34</v>
      </c>
      <c r="S144" s="4">
        <v>660964</v>
      </c>
      <c r="T144" s="4">
        <v>9110002758507</v>
      </c>
      <c r="U144" s="4">
        <v>0</v>
      </c>
      <c r="V144" s="4">
        <v>0</v>
      </c>
      <c r="W144" s="4">
        <v>0</v>
      </c>
      <c r="X144" s="4">
        <v>74.69</v>
      </c>
      <c r="Y144" s="4">
        <v>4915.13</v>
      </c>
      <c r="Z144" s="4">
        <v>4840.4399999999996</v>
      </c>
      <c r="AA144" s="4" t="s">
        <v>35</v>
      </c>
    </row>
    <row r="145" spans="1:27" s="4" customFormat="1" x14ac:dyDescent="0.3">
      <c r="A145" s="4" t="s">
        <v>29</v>
      </c>
      <c r="B145" s="4">
        <v>7168141</v>
      </c>
      <c r="C145" s="4">
        <v>7168141</v>
      </c>
      <c r="D145" s="4" t="s">
        <v>285</v>
      </c>
      <c r="E145" s="4" t="s">
        <v>286</v>
      </c>
      <c r="F145" s="4" t="s">
        <v>287</v>
      </c>
      <c r="G145" s="5">
        <v>23825</v>
      </c>
      <c r="H145" s="4">
        <f>DAY(G145)</f>
        <v>24</v>
      </c>
      <c r="I145" s="4">
        <f>MONTH(G145)</f>
        <v>3</v>
      </c>
      <c r="J145" s="4">
        <f>YEAR(G145)</f>
        <v>1965</v>
      </c>
      <c r="K145" s="6">
        <v>6508246100206</v>
      </c>
      <c r="L145" s="5">
        <v>45748</v>
      </c>
      <c r="M145" s="5">
        <v>45748</v>
      </c>
      <c r="N145" s="5">
        <v>45838</v>
      </c>
      <c r="O145" s="4">
        <v>3129.67</v>
      </c>
      <c r="P145" s="4">
        <v>1</v>
      </c>
      <c r="Q145" s="4" t="s">
        <v>33</v>
      </c>
      <c r="R145" s="4" t="s">
        <v>34</v>
      </c>
      <c r="S145" s="4">
        <v>660964</v>
      </c>
      <c r="T145" s="4">
        <v>9110000139087</v>
      </c>
      <c r="U145" s="4">
        <v>0</v>
      </c>
      <c r="V145" s="4">
        <v>0</v>
      </c>
      <c r="W145" s="4">
        <v>0</v>
      </c>
      <c r="X145" s="4">
        <v>0</v>
      </c>
      <c r="Y145" s="4">
        <v>3129.67</v>
      </c>
      <c r="Z145" s="4">
        <v>3129.67</v>
      </c>
      <c r="AA145" s="4" t="s">
        <v>35</v>
      </c>
    </row>
    <row r="146" spans="1:27" s="4" customFormat="1" x14ac:dyDescent="0.3">
      <c r="A146" s="4" t="s">
        <v>29</v>
      </c>
      <c r="B146" s="4">
        <v>7183508</v>
      </c>
      <c r="C146" s="4">
        <v>7183508</v>
      </c>
      <c r="D146" s="4" t="s">
        <v>51</v>
      </c>
      <c r="E146" s="4" t="s">
        <v>288</v>
      </c>
      <c r="F146" s="4" t="s">
        <v>289</v>
      </c>
      <c r="G146" s="5">
        <v>25652</v>
      </c>
      <c r="H146" s="4">
        <f>DAY(G146)</f>
        <v>25</v>
      </c>
      <c r="I146" s="4">
        <f>MONTH(G146)</f>
        <v>3</v>
      </c>
      <c r="J146" s="4">
        <f>YEAR(G146)</f>
        <v>1970</v>
      </c>
      <c r="K146" s="6">
        <v>651601007183508</v>
      </c>
      <c r="L146" s="5">
        <v>42095</v>
      </c>
      <c r="M146" s="5">
        <v>45474</v>
      </c>
      <c r="N146" s="5">
        <v>45838</v>
      </c>
      <c r="O146" s="4">
        <v>3047.7</v>
      </c>
      <c r="P146" s="4">
        <v>1</v>
      </c>
      <c r="Q146" s="4" t="s">
        <v>33</v>
      </c>
      <c r="R146" s="4" t="s">
        <v>34</v>
      </c>
      <c r="S146" s="4">
        <v>90004</v>
      </c>
      <c r="T146" s="4">
        <v>51001466589</v>
      </c>
      <c r="U146" s="4">
        <v>0</v>
      </c>
      <c r="V146" s="4">
        <v>0</v>
      </c>
      <c r="W146" s="4">
        <v>0</v>
      </c>
      <c r="X146" s="4">
        <v>0</v>
      </c>
      <c r="Y146" s="4">
        <v>3047.7</v>
      </c>
      <c r="Z146" s="4">
        <v>3047.7</v>
      </c>
      <c r="AA146" s="4" t="s">
        <v>35</v>
      </c>
    </row>
    <row r="147" spans="1:27" s="4" customFormat="1" x14ac:dyDescent="0.3">
      <c r="A147" s="4" t="s">
        <v>29</v>
      </c>
      <c r="B147" s="4">
        <v>7250031</v>
      </c>
      <c r="C147" s="4">
        <v>7250031</v>
      </c>
      <c r="D147" s="4" t="s">
        <v>54</v>
      </c>
      <c r="E147" s="4" t="s">
        <v>290</v>
      </c>
      <c r="F147" s="4" t="s">
        <v>291</v>
      </c>
      <c r="G147" s="5">
        <v>27843</v>
      </c>
      <c r="H147" s="4">
        <f>DAY(G147)</f>
        <v>24</v>
      </c>
      <c r="I147" s="4">
        <f>MONTH(G147)</f>
        <v>3</v>
      </c>
      <c r="J147" s="4">
        <f>YEAR(G147)</f>
        <v>1976</v>
      </c>
      <c r="K147" s="6">
        <v>651501007250031</v>
      </c>
      <c r="L147" s="5">
        <v>44440</v>
      </c>
      <c r="M147" s="5">
        <v>45474</v>
      </c>
      <c r="N147" s="5">
        <v>45838</v>
      </c>
      <c r="O147" s="4">
        <v>2076.08</v>
      </c>
      <c r="P147" s="4">
        <v>1</v>
      </c>
      <c r="Q147" s="4" t="s">
        <v>33</v>
      </c>
      <c r="R147" s="4" t="s">
        <v>34</v>
      </c>
      <c r="S147" s="4">
        <v>663164</v>
      </c>
      <c r="T147" s="4">
        <v>9110001855452</v>
      </c>
      <c r="U147" s="4">
        <v>0</v>
      </c>
      <c r="V147" s="4">
        <v>0</v>
      </c>
      <c r="W147" s="4">
        <v>0</v>
      </c>
      <c r="X147" s="4">
        <v>0</v>
      </c>
      <c r="Y147" s="4">
        <v>2076.08</v>
      </c>
      <c r="Z147" s="4">
        <v>2076.08</v>
      </c>
      <c r="AA147" s="4" t="s">
        <v>35</v>
      </c>
    </row>
    <row r="148" spans="1:27" s="4" customFormat="1" x14ac:dyDescent="0.3">
      <c r="A148" s="4" t="s">
        <v>29</v>
      </c>
      <c r="B148" s="4">
        <v>7264924</v>
      </c>
      <c r="C148" s="4">
        <v>7264924</v>
      </c>
      <c r="D148" s="4" t="s">
        <v>86</v>
      </c>
      <c r="E148" s="4" t="s">
        <v>103</v>
      </c>
      <c r="F148" s="4" t="s">
        <v>292</v>
      </c>
      <c r="G148" s="5">
        <v>28929</v>
      </c>
      <c r="H148" s="4">
        <f>DAY(G148)</f>
        <v>15</v>
      </c>
      <c r="I148" s="4">
        <f>MONTH(G148)</f>
        <v>3</v>
      </c>
      <c r="J148" s="4">
        <f>YEAR(G148)</f>
        <v>1979</v>
      </c>
      <c r="K148" s="6">
        <v>321002007264924</v>
      </c>
      <c r="L148" s="5">
        <v>45839</v>
      </c>
      <c r="M148" s="5">
        <v>45839</v>
      </c>
      <c r="O148" s="4">
        <v>2172.1799999999998</v>
      </c>
      <c r="P148" s="4">
        <v>1</v>
      </c>
      <c r="Q148" s="4" t="s">
        <v>33</v>
      </c>
      <c r="R148" s="4" t="s">
        <v>34</v>
      </c>
      <c r="S148" s="4">
        <v>282064</v>
      </c>
      <c r="T148" s="4">
        <v>63142966019</v>
      </c>
      <c r="U148" s="4">
        <v>0</v>
      </c>
      <c r="V148" s="4">
        <v>0</v>
      </c>
      <c r="W148" s="4">
        <v>0</v>
      </c>
      <c r="X148" s="4">
        <v>0</v>
      </c>
      <c r="Y148" s="4">
        <v>2172.1799999999998</v>
      </c>
      <c r="Z148" s="4">
        <v>2172.1799999999998</v>
      </c>
      <c r="AA148" s="4" t="s">
        <v>35</v>
      </c>
    </row>
    <row r="149" spans="1:27" s="4" customFormat="1" x14ac:dyDescent="0.3">
      <c r="A149" s="4" t="s">
        <v>29</v>
      </c>
      <c r="B149" s="4">
        <v>7403057</v>
      </c>
      <c r="C149" s="4">
        <v>7403057</v>
      </c>
      <c r="D149" s="4" t="s">
        <v>96</v>
      </c>
      <c r="E149" s="4" t="s">
        <v>100</v>
      </c>
      <c r="F149" s="4" t="s">
        <v>293</v>
      </c>
      <c r="G149" s="5">
        <v>30403</v>
      </c>
      <c r="H149" s="4">
        <f>DAY(G149)</f>
        <v>28</v>
      </c>
      <c r="I149" s="4">
        <f>MONTH(G149)</f>
        <v>3</v>
      </c>
      <c r="J149" s="4">
        <f>YEAR(G149)</f>
        <v>1983</v>
      </c>
      <c r="K149" s="6">
        <v>8303286100045</v>
      </c>
      <c r="L149" s="5">
        <v>44440</v>
      </c>
      <c r="M149" s="5">
        <v>45474</v>
      </c>
      <c r="N149" s="5">
        <v>45838</v>
      </c>
      <c r="O149" s="4">
        <v>2357.2800000000002</v>
      </c>
      <c r="P149" s="4">
        <v>1</v>
      </c>
      <c r="Q149" s="4" t="s">
        <v>33</v>
      </c>
      <c r="R149" s="4" t="s">
        <v>34</v>
      </c>
      <c r="S149" s="4">
        <v>282064</v>
      </c>
      <c r="T149" s="4">
        <v>62941115009</v>
      </c>
      <c r="U149" s="4">
        <v>0</v>
      </c>
      <c r="V149" s="4">
        <v>0</v>
      </c>
      <c r="W149" s="4">
        <v>0</v>
      </c>
      <c r="X149" s="4">
        <v>0</v>
      </c>
      <c r="Y149" s="4">
        <v>2357.2800000000002</v>
      </c>
      <c r="Z149" s="4">
        <v>2357.2800000000002</v>
      </c>
      <c r="AA149" s="4" t="s">
        <v>35</v>
      </c>
    </row>
    <row r="150" spans="1:27" s="4" customFormat="1" x14ac:dyDescent="0.3">
      <c r="A150" s="4" t="s">
        <v>29</v>
      </c>
      <c r="B150" s="4">
        <v>7955042</v>
      </c>
      <c r="C150" s="4">
        <v>7955042</v>
      </c>
      <c r="D150" s="4" t="s">
        <v>210</v>
      </c>
      <c r="E150" s="4" t="s">
        <v>87</v>
      </c>
      <c r="F150" s="4" t="s">
        <v>294</v>
      </c>
      <c r="G150" s="5">
        <v>26371</v>
      </c>
      <c r="H150" s="4">
        <f>DAY(G150)</f>
        <v>13</v>
      </c>
      <c r="I150" s="4">
        <f>MONTH(G150)</f>
        <v>3</v>
      </c>
      <c r="J150" s="4">
        <f>YEAR(G150)</f>
        <v>1972</v>
      </c>
      <c r="K150" s="6">
        <v>7203136100123</v>
      </c>
      <c r="L150" s="5">
        <v>40544</v>
      </c>
      <c r="M150" s="5">
        <v>45474</v>
      </c>
      <c r="N150" s="5">
        <v>45838</v>
      </c>
      <c r="O150" s="4">
        <v>4038.66</v>
      </c>
      <c r="P150" s="4">
        <v>1</v>
      </c>
      <c r="Q150" s="4" t="s">
        <v>33</v>
      </c>
      <c r="R150" s="4" t="s">
        <v>34</v>
      </c>
      <c r="S150" s="4">
        <v>90001</v>
      </c>
      <c r="T150" s="4">
        <v>51000855972</v>
      </c>
      <c r="U150" s="4">
        <v>0</v>
      </c>
      <c r="V150" s="4">
        <v>0</v>
      </c>
      <c r="W150" s="4">
        <v>0</v>
      </c>
      <c r="X150" s="4">
        <v>124.39</v>
      </c>
      <c r="Y150" s="4">
        <v>4038.66</v>
      </c>
      <c r="Z150" s="4">
        <v>3914.27</v>
      </c>
      <c r="AA150" s="4" t="s">
        <v>35</v>
      </c>
    </row>
    <row r="151" spans="1:27" s="4" customFormat="1" x14ac:dyDescent="0.3">
      <c r="A151" s="4" t="s">
        <v>29</v>
      </c>
      <c r="B151" s="4">
        <v>8019459</v>
      </c>
      <c r="C151" s="4">
        <v>8019459</v>
      </c>
      <c r="D151" s="4" t="s">
        <v>295</v>
      </c>
      <c r="E151" s="4" t="s">
        <v>52</v>
      </c>
      <c r="F151" s="4" t="s">
        <v>296</v>
      </c>
      <c r="G151" s="5">
        <v>17620</v>
      </c>
      <c r="H151" s="4">
        <f>DAY(G151)</f>
        <v>28</v>
      </c>
      <c r="I151" s="4">
        <f>MONTH(G151)</f>
        <v>3</v>
      </c>
      <c r="J151" s="4">
        <f>YEAR(G151)</f>
        <v>1948</v>
      </c>
      <c r="K151" s="6">
        <v>4803286100014</v>
      </c>
      <c r="L151" s="5">
        <v>39539</v>
      </c>
      <c r="M151" s="5">
        <v>45444</v>
      </c>
      <c r="N151" s="5">
        <v>45838</v>
      </c>
      <c r="O151" s="4">
        <v>6151.51</v>
      </c>
      <c r="P151" s="4">
        <v>1</v>
      </c>
      <c r="Q151" s="4" t="s">
        <v>33</v>
      </c>
      <c r="R151" s="4" t="s">
        <v>34</v>
      </c>
      <c r="S151" s="4">
        <v>770004</v>
      </c>
      <c r="T151" s="4">
        <v>4040117391601</v>
      </c>
      <c r="U151" s="4">
        <v>0</v>
      </c>
      <c r="V151" s="4">
        <v>0</v>
      </c>
      <c r="W151" s="4">
        <v>0</v>
      </c>
      <c r="X151" s="4">
        <v>321.95999999999998</v>
      </c>
      <c r="Y151" s="4">
        <v>6151.51</v>
      </c>
      <c r="Z151" s="4">
        <v>5829.55</v>
      </c>
      <c r="AA151" s="4" t="s">
        <v>35</v>
      </c>
    </row>
    <row r="152" spans="1:27" s="4" customFormat="1" x14ac:dyDescent="0.3">
      <c r="A152" s="4" t="s">
        <v>29</v>
      </c>
      <c r="B152" s="4">
        <v>8065632</v>
      </c>
      <c r="C152" s="4">
        <v>8065632</v>
      </c>
      <c r="D152" s="4" t="s">
        <v>297</v>
      </c>
      <c r="E152" s="4" t="s">
        <v>72</v>
      </c>
      <c r="F152" s="4" t="s">
        <v>298</v>
      </c>
      <c r="G152" s="5">
        <v>19057</v>
      </c>
      <c r="H152" s="4">
        <f>DAY(G152)</f>
        <v>4</v>
      </c>
      <c r="I152" s="4">
        <f>MONTH(G152)</f>
        <v>3</v>
      </c>
      <c r="J152" s="4">
        <f>YEAR(G152)</f>
        <v>1952</v>
      </c>
      <c r="K152" s="6">
        <v>5204036100173</v>
      </c>
      <c r="L152" s="5">
        <v>41000</v>
      </c>
      <c r="M152" s="5">
        <v>45474</v>
      </c>
      <c r="N152" s="5">
        <v>45838</v>
      </c>
      <c r="O152" s="4">
        <v>1851.65</v>
      </c>
      <c r="P152" s="4">
        <v>1</v>
      </c>
      <c r="Q152" s="4" t="s">
        <v>33</v>
      </c>
      <c r="R152" s="4" t="s">
        <v>34</v>
      </c>
      <c r="S152" s="4">
        <v>282064</v>
      </c>
      <c r="T152" s="4">
        <v>57730030758</v>
      </c>
      <c r="U152" s="4">
        <v>0</v>
      </c>
      <c r="V152" s="4">
        <v>0</v>
      </c>
      <c r="W152" s="4">
        <v>0</v>
      </c>
      <c r="X152" s="4">
        <v>0</v>
      </c>
      <c r="Y152" s="4">
        <v>1851.65</v>
      </c>
      <c r="Z152" s="4">
        <v>1851.65</v>
      </c>
      <c r="AA152" s="4" t="s">
        <v>35</v>
      </c>
    </row>
    <row r="153" spans="1:27" s="4" customFormat="1" x14ac:dyDescent="0.3">
      <c r="A153" s="4" t="s">
        <v>29</v>
      </c>
      <c r="B153" s="4">
        <v>8108360</v>
      </c>
      <c r="C153" s="4">
        <v>8108360</v>
      </c>
      <c r="D153" s="4" t="s">
        <v>236</v>
      </c>
      <c r="E153" s="4" t="s">
        <v>72</v>
      </c>
      <c r="F153" s="4" t="s">
        <v>299</v>
      </c>
      <c r="G153" s="5">
        <v>20150</v>
      </c>
      <c r="H153" s="4">
        <f>DAY(G153)</f>
        <v>2</v>
      </c>
      <c r="I153" s="4">
        <f>MONTH(G153)</f>
        <v>3</v>
      </c>
      <c r="J153" s="4">
        <f>YEAR(G153)</f>
        <v>1955</v>
      </c>
      <c r="K153" s="6">
        <v>5503026100022</v>
      </c>
      <c r="L153" s="5">
        <v>41091</v>
      </c>
      <c r="M153" s="5">
        <v>45474</v>
      </c>
      <c r="N153" s="5">
        <v>45838</v>
      </c>
      <c r="O153" s="4">
        <v>16685.03</v>
      </c>
      <c r="P153" s="4">
        <v>1</v>
      </c>
      <c r="Q153" s="4" t="s">
        <v>33</v>
      </c>
      <c r="R153" s="4" t="s">
        <v>34</v>
      </c>
      <c r="S153" s="4">
        <v>770002</v>
      </c>
      <c r="T153" s="4">
        <v>2040115942101</v>
      </c>
      <c r="U153" s="4">
        <v>20</v>
      </c>
      <c r="V153" s="4">
        <v>0</v>
      </c>
      <c r="W153" s="4">
        <v>0</v>
      </c>
      <c r="X153" s="4">
        <v>3056.06</v>
      </c>
      <c r="Y153" s="4">
        <v>16685.03</v>
      </c>
      <c r="Z153" s="4">
        <v>13608.97</v>
      </c>
      <c r="AA153" s="4" t="s">
        <v>35</v>
      </c>
    </row>
    <row r="154" spans="1:27" s="4" customFormat="1" x14ac:dyDescent="0.3">
      <c r="A154" s="4" t="s">
        <v>29</v>
      </c>
      <c r="B154" s="4">
        <v>8116556</v>
      </c>
      <c r="C154" s="4">
        <v>8116556</v>
      </c>
      <c r="D154" s="4" t="s">
        <v>169</v>
      </c>
      <c r="E154" s="4" t="s">
        <v>37</v>
      </c>
      <c r="F154" s="4" t="s">
        <v>300</v>
      </c>
      <c r="G154" s="5">
        <v>19793</v>
      </c>
      <c r="H154" s="4">
        <f>DAY(G154)</f>
        <v>10</v>
      </c>
      <c r="I154" s="4">
        <f>MONTH(G154)</f>
        <v>3</v>
      </c>
      <c r="J154" s="4">
        <f>YEAR(G154)</f>
        <v>1954</v>
      </c>
      <c r="K154" s="6">
        <v>5403106100010</v>
      </c>
      <c r="L154" s="5">
        <v>41730</v>
      </c>
      <c r="M154" s="5">
        <v>45474</v>
      </c>
      <c r="N154" s="5">
        <v>45838</v>
      </c>
      <c r="O154" s="4">
        <v>9226.81</v>
      </c>
      <c r="P154" s="4">
        <v>1</v>
      </c>
      <c r="Q154" s="4" t="s">
        <v>33</v>
      </c>
      <c r="R154" s="4" t="s">
        <v>34</v>
      </c>
      <c r="S154" s="4">
        <v>770002</v>
      </c>
      <c r="T154" s="4">
        <v>77014256118</v>
      </c>
      <c r="U154" s="4">
        <v>0</v>
      </c>
      <c r="V154" s="4">
        <v>0</v>
      </c>
      <c r="W154" s="4">
        <v>0</v>
      </c>
      <c r="X154" s="4">
        <v>981.7</v>
      </c>
      <c r="Y154" s="4">
        <v>9226.81</v>
      </c>
      <c r="Z154" s="4">
        <v>8245.11</v>
      </c>
      <c r="AA154" s="4" t="s">
        <v>35</v>
      </c>
    </row>
    <row r="155" spans="1:27" s="4" customFormat="1" x14ac:dyDescent="0.3">
      <c r="A155" s="4" t="s">
        <v>29</v>
      </c>
      <c r="B155" s="4">
        <v>8236018</v>
      </c>
      <c r="C155" s="4">
        <v>8236018</v>
      </c>
      <c r="D155" s="4" t="s">
        <v>66</v>
      </c>
      <c r="E155" s="4" t="s">
        <v>72</v>
      </c>
      <c r="F155" s="4" t="s">
        <v>301</v>
      </c>
      <c r="G155" s="5">
        <v>21988</v>
      </c>
      <c r="H155" s="4">
        <f>DAY(G155)</f>
        <v>13</v>
      </c>
      <c r="I155" s="4">
        <f>MONTH(G155)</f>
        <v>3</v>
      </c>
      <c r="J155" s="4">
        <f>YEAR(G155)</f>
        <v>1960</v>
      </c>
      <c r="K155" s="6">
        <v>6003316100013</v>
      </c>
      <c r="L155" s="5">
        <v>43922</v>
      </c>
      <c r="M155" s="5">
        <v>45474</v>
      </c>
      <c r="N155" s="5">
        <v>45838</v>
      </c>
      <c r="O155" s="4">
        <v>12310.43</v>
      </c>
      <c r="P155" s="4">
        <v>1</v>
      </c>
      <c r="Q155" s="4" t="s">
        <v>33</v>
      </c>
      <c r="R155" s="4" t="s">
        <v>34</v>
      </c>
      <c r="S155" s="4">
        <v>660464</v>
      </c>
      <c r="T155" s="4">
        <v>9110003045199</v>
      </c>
      <c r="U155" s="4">
        <v>20</v>
      </c>
      <c r="V155" s="4">
        <v>0</v>
      </c>
      <c r="W155" s="4">
        <v>0</v>
      </c>
      <c r="X155" s="4">
        <v>1752.6</v>
      </c>
      <c r="Y155" s="4">
        <v>12310.43</v>
      </c>
      <c r="Z155" s="4">
        <v>10537.83</v>
      </c>
      <c r="AA155" s="4" t="s">
        <v>35</v>
      </c>
    </row>
    <row r="156" spans="1:27" s="4" customFormat="1" x14ac:dyDescent="0.3">
      <c r="A156" s="4" t="s">
        <v>29</v>
      </c>
      <c r="B156" s="4">
        <v>8246110</v>
      </c>
      <c r="C156" s="4">
        <v>8246110</v>
      </c>
      <c r="D156" s="4" t="s">
        <v>199</v>
      </c>
      <c r="E156" s="4" t="s">
        <v>37</v>
      </c>
      <c r="F156" s="4" t="s">
        <v>121</v>
      </c>
      <c r="G156" s="5">
        <v>19063</v>
      </c>
      <c r="H156" s="4">
        <f>DAY(G156)</f>
        <v>10</v>
      </c>
      <c r="I156" s="4">
        <f>MONTH(G156)</f>
        <v>3</v>
      </c>
      <c r="J156" s="4">
        <f>YEAR(G156)</f>
        <v>1952</v>
      </c>
      <c r="K156" s="6">
        <v>5203101100175</v>
      </c>
      <c r="L156" s="5">
        <v>41000</v>
      </c>
      <c r="M156" s="5">
        <v>45474</v>
      </c>
      <c r="N156" s="5">
        <v>45838</v>
      </c>
      <c r="O156" s="4">
        <v>4820.84</v>
      </c>
      <c r="P156" s="4">
        <v>1</v>
      </c>
      <c r="Q156" s="4" t="s">
        <v>33</v>
      </c>
      <c r="R156" s="4" t="s">
        <v>34</v>
      </c>
      <c r="S156" s="4">
        <v>660564</v>
      </c>
      <c r="T156" s="4">
        <v>9110002634174</v>
      </c>
      <c r="U156" s="4">
        <v>0</v>
      </c>
      <c r="V156" s="4">
        <v>0</v>
      </c>
      <c r="W156" s="4">
        <v>0</v>
      </c>
      <c r="X156" s="4">
        <v>55.83</v>
      </c>
      <c r="Y156" s="4">
        <v>4820.84</v>
      </c>
      <c r="Z156" s="4">
        <v>4765.01</v>
      </c>
      <c r="AA156" s="4" t="s">
        <v>35</v>
      </c>
    </row>
    <row r="157" spans="1:27" s="4" customFormat="1" x14ac:dyDescent="0.3">
      <c r="A157" s="4" t="s">
        <v>29</v>
      </c>
      <c r="B157" s="4">
        <v>8262327</v>
      </c>
      <c r="C157" s="4">
        <v>8262327</v>
      </c>
      <c r="D157" s="4" t="s">
        <v>302</v>
      </c>
      <c r="E157" s="4" t="s">
        <v>303</v>
      </c>
      <c r="F157" s="4" t="s">
        <v>304</v>
      </c>
      <c r="G157" s="5">
        <v>23083</v>
      </c>
      <c r="H157" s="4">
        <f>DAY(G157)</f>
        <v>13</v>
      </c>
      <c r="I157" s="4">
        <f>MONTH(G157)</f>
        <v>3</v>
      </c>
      <c r="J157" s="4">
        <f>YEAR(G157)</f>
        <v>1963</v>
      </c>
      <c r="K157" s="6">
        <v>6303136100163</v>
      </c>
      <c r="L157" s="5">
        <v>45017</v>
      </c>
      <c r="M157" s="5">
        <v>45474</v>
      </c>
      <c r="N157" s="5">
        <v>45838</v>
      </c>
      <c r="O157" s="4">
        <v>5318.7</v>
      </c>
      <c r="P157" s="4">
        <v>1</v>
      </c>
      <c r="Q157" s="4" t="s">
        <v>33</v>
      </c>
      <c r="R157" s="4" t="s">
        <v>34</v>
      </c>
      <c r="S157" s="4">
        <v>770001</v>
      </c>
      <c r="T157" s="4">
        <v>77400525911</v>
      </c>
      <c r="U157" s="4">
        <v>0</v>
      </c>
      <c r="V157" s="4">
        <v>0</v>
      </c>
      <c r="W157" s="4">
        <v>0</v>
      </c>
      <c r="X157" s="4">
        <v>155.4</v>
      </c>
      <c r="Y157" s="4">
        <v>5318.7</v>
      </c>
      <c r="Z157" s="4">
        <v>5163.3</v>
      </c>
      <c r="AA157" s="4" t="s">
        <v>35</v>
      </c>
    </row>
    <row r="158" spans="1:27" s="4" customFormat="1" x14ac:dyDescent="0.3">
      <c r="A158" s="4" t="s">
        <v>29</v>
      </c>
      <c r="B158" s="4">
        <v>8265179</v>
      </c>
      <c r="C158" s="4">
        <v>8265179</v>
      </c>
      <c r="D158" s="4" t="s">
        <v>232</v>
      </c>
      <c r="E158" s="4" t="s">
        <v>40</v>
      </c>
      <c r="F158" s="4" t="s">
        <v>234</v>
      </c>
      <c r="G158" s="5">
        <v>21976</v>
      </c>
      <c r="H158" s="4">
        <f>DAY(G158)</f>
        <v>1</v>
      </c>
      <c r="I158" s="4">
        <f>MONTH(G158)</f>
        <v>3</v>
      </c>
      <c r="J158" s="4">
        <f>YEAR(G158)</f>
        <v>1960</v>
      </c>
      <c r="K158" s="6">
        <v>6003011100029</v>
      </c>
      <c r="L158" s="5">
        <v>43891</v>
      </c>
      <c r="M158" s="5">
        <v>45474</v>
      </c>
      <c r="N158" s="5">
        <v>45838</v>
      </c>
      <c r="O158" s="4">
        <v>7036.77</v>
      </c>
      <c r="P158" s="4">
        <v>1</v>
      </c>
      <c r="Q158" s="4" t="s">
        <v>33</v>
      </c>
      <c r="R158" s="4" t="s">
        <v>34</v>
      </c>
      <c r="S158" s="4">
        <v>280164</v>
      </c>
      <c r="T158" s="4">
        <v>57710042476</v>
      </c>
      <c r="U158" s="4">
        <v>0</v>
      </c>
      <c r="V158" s="4">
        <v>0</v>
      </c>
      <c r="W158" s="4">
        <v>0</v>
      </c>
      <c r="X158" s="4">
        <v>499.02</v>
      </c>
      <c r="Y158" s="4">
        <v>7036.77</v>
      </c>
      <c r="Z158" s="4">
        <v>6537.75</v>
      </c>
      <c r="AA158" s="4" t="s">
        <v>35</v>
      </c>
    </row>
    <row r="159" spans="1:27" s="4" customFormat="1" x14ac:dyDescent="0.3">
      <c r="A159" s="4" t="s">
        <v>29</v>
      </c>
      <c r="B159" s="4">
        <v>8364780</v>
      </c>
      <c r="C159" s="4">
        <v>8364780</v>
      </c>
      <c r="D159" s="4" t="s">
        <v>305</v>
      </c>
      <c r="E159" s="4" t="s">
        <v>52</v>
      </c>
      <c r="F159" s="4" t="s">
        <v>306</v>
      </c>
      <c r="G159" s="5">
        <v>23090</v>
      </c>
      <c r="H159" s="4">
        <f>DAY(G159)</f>
        <v>20</v>
      </c>
      <c r="I159" s="4">
        <f>MONTH(G159)</f>
        <v>3</v>
      </c>
      <c r="J159" s="4">
        <f>YEAR(G159)</f>
        <v>1963</v>
      </c>
      <c r="K159" s="6">
        <v>6211226100052</v>
      </c>
      <c r="L159" s="5">
        <v>45017</v>
      </c>
      <c r="M159" s="5">
        <v>45474</v>
      </c>
      <c r="N159" s="5">
        <v>45838</v>
      </c>
      <c r="O159" s="4">
        <v>2879.63</v>
      </c>
      <c r="P159" s="4">
        <v>1</v>
      </c>
      <c r="Q159" s="4" t="s">
        <v>33</v>
      </c>
      <c r="R159" s="4" t="s">
        <v>34</v>
      </c>
      <c r="S159" s="4">
        <v>90001</v>
      </c>
      <c r="T159" s="4">
        <v>51000016571</v>
      </c>
      <c r="U159" s="4">
        <v>0</v>
      </c>
      <c r="V159" s="4">
        <v>0</v>
      </c>
      <c r="W159" s="4">
        <v>0</v>
      </c>
      <c r="X159" s="4">
        <v>0</v>
      </c>
      <c r="Y159" s="4">
        <v>2879.63</v>
      </c>
      <c r="Z159" s="4">
        <v>2879.63</v>
      </c>
      <c r="AA159" s="4" t="s">
        <v>35</v>
      </c>
    </row>
    <row r="160" spans="1:27" s="4" customFormat="1" x14ac:dyDescent="0.3">
      <c r="A160" s="4" t="s">
        <v>29</v>
      </c>
      <c r="B160" s="4">
        <v>8390037</v>
      </c>
      <c r="C160" s="4">
        <v>8390037</v>
      </c>
      <c r="D160" s="4" t="s">
        <v>130</v>
      </c>
      <c r="E160" s="4" t="s">
        <v>49</v>
      </c>
      <c r="F160" s="4" t="s">
        <v>307</v>
      </c>
      <c r="G160" s="5">
        <v>22713</v>
      </c>
      <c r="H160" s="4">
        <f>DAY(G160)</f>
        <v>8</v>
      </c>
      <c r="I160" s="4">
        <f>MONTH(G160)</f>
        <v>3</v>
      </c>
      <c r="J160" s="4">
        <f>YEAR(G160)</f>
        <v>1962</v>
      </c>
      <c r="K160" s="6">
        <v>6203081100061</v>
      </c>
      <c r="L160" s="5">
        <v>41030</v>
      </c>
      <c r="M160" s="5">
        <v>45474</v>
      </c>
      <c r="N160" s="5">
        <v>45838</v>
      </c>
      <c r="O160" s="4">
        <v>5808.98</v>
      </c>
      <c r="P160" s="4">
        <v>1</v>
      </c>
      <c r="Q160" s="4" t="s">
        <v>33</v>
      </c>
      <c r="R160" s="4" t="s">
        <v>34</v>
      </c>
      <c r="S160" s="4">
        <v>90001</v>
      </c>
      <c r="T160" s="4">
        <v>52000676405</v>
      </c>
      <c r="U160" s="4">
        <v>0</v>
      </c>
      <c r="V160" s="4">
        <v>0</v>
      </c>
      <c r="W160" s="4">
        <v>0</v>
      </c>
      <c r="X160" s="4">
        <v>253.46</v>
      </c>
      <c r="Y160" s="4">
        <v>5808.98</v>
      </c>
      <c r="Z160" s="4">
        <v>5555.52</v>
      </c>
      <c r="AA160" s="4" t="s">
        <v>35</v>
      </c>
    </row>
    <row r="161" spans="1:29" s="4" customFormat="1" x14ac:dyDescent="0.3">
      <c r="A161" s="4" t="s">
        <v>29</v>
      </c>
      <c r="B161" s="4">
        <v>8549293</v>
      </c>
      <c r="C161" s="4">
        <v>8549293</v>
      </c>
      <c r="D161" s="4" t="s">
        <v>66</v>
      </c>
      <c r="E161" s="4" t="s">
        <v>64</v>
      </c>
      <c r="F161" s="4" t="s">
        <v>308</v>
      </c>
      <c r="G161" s="5">
        <v>20904</v>
      </c>
      <c r="H161" s="4">
        <f>DAY(G161)</f>
        <v>25</v>
      </c>
      <c r="I161" s="4">
        <f>MONTH(G161)</f>
        <v>3</v>
      </c>
      <c r="J161" s="4">
        <f>YEAR(G161)</f>
        <v>1957</v>
      </c>
      <c r="K161" s="6">
        <v>5703251100024</v>
      </c>
      <c r="L161" s="5">
        <v>42826</v>
      </c>
      <c r="M161" s="5">
        <v>45474</v>
      </c>
      <c r="N161" s="5">
        <v>45838</v>
      </c>
      <c r="O161" s="4">
        <v>1560.63</v>
      </c>
      <c r="P161" s="4">
        <v>1</v>
      </c>
      <c r="Q161" s="4" t="s">
        <v>33</v>
      </c>
      <c r="R161" s="4" t="s">
        <v>34</v>
      </c>
      <c r="S161" s="4">
        <v>770002</v>
      </c>
      <c r="T161" s="4">
        <v>77011556617</v>
      </c>
      <c r="U161" s="4">
        <v>0</v>
      </c>
      <c r="V161" s="4">
        <v>0</v>
      </c>
      <c r="W161" s="4">
        <v>0</v>
      </c>
      <c r="X161" s="4">
        <v>0</v>
      </c>
      <c r="Y161" s="4">
        <v>1560.63</v>
      </c>
      <c r="Z161" s="4">
        <v>1560.63</v>
      </c>
      <c r="AA161" s="4" t="s">
        <v>35</v>
      </c>
      <c r="AC161" s="4" t="s">
        <v>238</v>
      </c>
    </row>
    <row r="162" spans="1:29" s="4" customFormat="1" x14ac:dyDescent="0.3">
      <c r="A162" s="4" t="s">
        <v>29</v>
      </c>
      <c r="B162" s="4">
        <v>8553708</v>
      </c>
      <c r="C162" s="4">
        <v>8553708</v>
      </c>
      <c r="D162" s="4" t="s">
        <v>309</v>
      </c>
      <c r="E162" s="4" t="s">
        <v>131</v>
      </c>
      <c r="F162" s="4" t="s">
        <v>310</v>
      </c>
      <c r="G162" s="5">
        <v>23814</v>
      </c>
      <c r="H162" s="4">
        <f>DAY(G162)</f>
        <v>13</v>
      </c>
      <c r="I162" s="4">
        <f>MONTH(G162)</f>
        <v>3</v>
      </c>
      <c r="J162" s="4">
        <f>YEAR(G162)</f>
        <v>1965</v>
      </c>
      <c r="K162" s="6">
        <v>6503136100135</v>
      </c>
      <c r="L162" s="5">
        <v>42887</v>
      </c>
      <c r="M162" s="5">
        <v>45474</v>
      </c>
      <c r="N162" s="5">
        <v>45838</v>
      </c>
      <c r="O162" s="4">
        <v>1766.76</v>
      </c>
      <c r="P162" s="4">
        <v>1</v>
      </c>
      <c r="Q162" s="4" t="s">
        <v>33</v>
      </c>
      <c r="R162" s="4" t="s">
        <v>34</v>
      </c>
      <c r="S162" s="4">
        <v>770001</v>
      </c>
      <c r="T162" s="4">
        <v>77050135700</v>
      </c>
      <c r="U162" s="4">
        <v>0</v>
      </c>
      <c r="V162" s="4">
        <v>0</v>
      </c>
      <c r="W162" s="4">
        <v>0</v>
      </c>
      <c r="X162" s="4">
        <v>0</v>
      </c>
      <c r="Y162" s="4">
        <v>1766.76</v>
      </c>
      <c r="Z162" s="4">
        <v>1766.76</v>
      </c>
      <c r="AA162" s="4" t="s">
        <v>35</v>
      </c>
    </row>
    <row r="163" spans="1:29" s="4" customFormat="1" x14ac:dyDescent="0.3">
      <c r="A163" s="4" t="s">
        <v>29</v>
      </c>
      <c r="B163" s="4">
        <v>8583891</v>
      </c>
      <c r="C163" s="4">
        <v>8583891</v>
      </c>
      <c r="D163" s="4" t="s">
        <v>311</v>
      </c>
      <c r="E163" s="4" t="s">
        <v>312</v>
      </c>
      <c r="F163" s="4" t="s">
        <v>313</v>
      </c>
      <c r="G163" s="5">
        <v>23824</v>
      </c>
      <c r="H163" s="4">
        <f>DAY(G163)</f>
        <v>23</v>
      </c>
      <c r="I163" s="4">
        <f>MONTH(G163)</f>
        <v>3</v>
      </c>
      <c r="J163" s="4">
        <f>YEAR(G163)</f>
        <v>1965</v>
      </c>
      <c r="K163" s="6">
        <v>6503231100352</v>
      </c>
      <c r="L163" s="5">
        <v>45748</v>
      </c>
      <c r="M163" s="5">
        <v>45748</v>
      </c>
      <c r="N163" s="5">
        <v>45838</v>
      </c>
      <c r="O163" s="4">
        <v>1707.42</v>
      </c>
      <c r="P163" s="4">
        <v>1</v>
      </c>
      <c r="Q163" s="4" t="s">
        <v>33</v>
      </c>
      <c r="R163" s="4" t="s">
        <v>34</v>
      </c>
      <c r="S163" s="4">
        <v>280164</v>
      </c>
      <c r="T163" s="4">
        <v>62126777757</v>
      </c>
      <c r="U163" s="4">
        <v>0</v>
      </c>
      <c r="V163" s="4">
        <v>0</v>
      </c>
      <c r="W163" s="4">
        <v>0</v>
      </c>
      <c r="X163" s="4">
        <v>0</v>
      </c>
      <c r="Y163" s="4">
        <v>1707.42</v>
      </c>
      <c r="Z163" s="4">
        <v>1707.42</v>
      </c>
      <c r="AA163" s="4" t="s">
        <v>35</v>
      </c>
    </row>
    <row r="164" spans="1:29" s="4" customFormat="1" x14ac:dyDescent="0.3">
      <c r="A164" s="4" t="s">
        <v>29</v>
      </c>
      <c r="B164" s="4">
        <v>8725374</v>
      </c>
      <c r="C164" s="4">
        <v>8725374</v>
      </c>
      <c r="D164" s="4" t="s">
        <v>314</v>
      </c>
      <c r="E164" s="4" t="s">
        <v>315</v>
      </c>
      <c r="F164" s="4" t="s">
        <v>316</v>
      </c>
      <c r="G164" s="5">
        <v>26731</v>
      </c>
      <c r="H164" s="4">
        <f>DAY(G164)</f>
        <v>8</v>
      </c>
      <c r="I164" s="4">
        <f>MONTH(G164)</f>
        <v>3</v>
      </c>
      <c r="J164" s="4">
        <f>YEAR(G164)</f>
        <v>1973</v>
      </c>
      <c r="K164" s="6">
        <v>7303086100055</v>
      </c>
      <c r="L164" s="5">
        <v>45352</v>
      </c>
      <c r="M164" s="5">
        <v>45474</v>
      </c>
      <c r="N164" s="5">
        <v>45838</v>
      </c>
      <c r="O164" s="4">
        <v>3496.93</v>
      </c>
      <c r="P164" s="4">
        <v>1</v>
      </c>
      <c r="Q164" s="4" t="s">
        <v>33</v>
      </c>
      <c r="R164" s="4" t="s">
        <v>34</v>
      </c>
      <c r="S164" s="4">
        <v>660564</v>
      </c>
      <c r="T164" s="4">
        <v>9110000425160</v>
      </c>
      <c r="U164" s="4">
        <v>62.5</v>
      </c>
      <c r="V164" s="4">
        <v>0</v>
      </c>
      <c r="W164" s="4">
        <v>0</v>
      </c>
      <c r="X164" s="4">
        <v>16.05</v>
      </c>
      <c r="Y164" s="4">
        <v>3496.93</v>
      </c>
      <c r="Z164" s="4">
        <v>3418.38</v>
      </c>
      <c r="AA164" s="4" t="s">
        <v>35</v>
      </c>
    </row>
    <row r="165" spans="1:29" s="4" customFormat="1" x14ac:dyDescent="0.3">
      <c r="A165" s="4" t="s">
        <v>29</v>
      </c>
      <c r="B165" s="4">
        <v>8883562</v>
      </c>
      <c r="C165" s="4">
        <v>8883562</v>
      </c>
      <c r="D165" s="4" t="s">
        <v>317</v>
      </c>
      <c r="E165" s="4" t="s">
        <v>318</v>
      </c>
      <c r="F165" s="4" t="s">
        <v>319</v>
      </c>
      <c r="G165" s="5">
        <v>26742</v>
      </c>
      <c r="H165" s="4">
        <f>DAY(G165)</f>
        <v>19</v>
      </c>
      <c r="I165" s="4">
        <f>MONTH(G165)</f>
        <v>3</v>
      </c>
      <c r="J165" s="4">
        <f>YEAR(G165)</f>
        <v>1973</v>
      </c>
      <c r="K165" s="6">
        <v>7303196100011</v>
      </c>
      <c r="L165" s="5">
        <v>44166</v>
      </c>
      <c r="M165" s="5">
        <v>45474</v>
      </c>
      <c r="N165" s="5">
        <v>45838</v>
      </c>
      <c r="O165" s="4">
        <v>3140.33</v>
      </c>
      <c r="P165" s="4">
        <v>1</v>
      </c>
      <c r="Q165" s="4" t="s">
        <v>33</v>
      </c>
      <c r="R165" s="4" t="s">
        <v>34</v>
      </c>
      <c r="S165" s="4">
        <v>770004</v>
      </c>
      <c r="T165" s="4">
        <v>77402450668</v>
      </c>
      <c r="U165" s="4">
        <v>0</v>
      </c>
      <c r="V165" s="4">
        <v>0</v>
      </c>
      <c r="W165" s="4">
        <v>0</v>
      </c>
      <c r="X165" s="4">
        <v>0</v>
      </c>
      <c r="Y165" s="4">
        <v>3140.33</v>
      </c>
      <c r="Z165" s="4">
        <v>3140.33</v>
      </c>
      <c r="AA165" s="4" t="s">
        <v>35</v>
      </c>
    </row>
    <row r="166" spans="1:29" s="4" customFormat="1" x14ac:dyDescent="0.3">
      <c r="A166" s="4" t="s">
        <v>29</v>
      </c>
      <c r="B166" s="4">
        <v>8952925</v>
      </c>
      <c r="C166" s="4">
        <v>8952925</v>
      </c>
      <c r="D166" s="4" t="s">
        <v>302</v>
      </c>
      <c r="E166" s="4" t="s">
        <v>103</v>
      </c>
      <c r="F166" s="4" t="s">
        <v>320</v>
      </c>
      <c r="G166" s="5">
        <v>27471</v>
      </c>
      <c r="H166" s="4">
        <f>DAY(G166)</f>
        <v>18</v>
      </c>
      <c r="I166" s="4">
        <f>MONTH(G166)</f>
        <v>3</v>
      </c>
      <c r="J166" s="4">
        <f>YEAR(G166)</f>
        <v>1975</v>
      </c>
      <c r="K166" s="6">
        <v>7503186100091</v>
      </c>
      <c r="L166" s="5">
        <v>40544</v>
      </c>
      <c r="M166" s="5">
        <v>45474</v>
      </c>
      <c r="N166" s="5">
        <v>45838</v>
      </c>
      <c r="O166" s="4">
        <v>1920.57</v>
      </c>
      <c r="P166" s="4">
        <v>1</v>
      </c>
      <c r="Q166" s="4" t="s">
        <v>33</v>
      </c>
      <c r="R166" s="4" t="s">
        <v>34</v>
      </c>
      <c r="S166" s="4">
        <v>770004</v>
      </c>
      <c r="T166" s="4">
        <v>4040116068801</v>
      </c>
      <c r="U166" s="4">
        <v>0</v>
      </c>
      <c r="V166" s="4">
        <v>0</v>
      </c>
      <c r="W166" s="4">
        <v>0</v>
      </c>
      <c r="X166" s="4">
        <v>0</v>
      </c>
      <c r="Y166" s="4">
        <v>1920.57</v>
      </c>
      <c r="Z166" s="4">
        <v>1920.57</v>
      </c>
      <c r="AA166" s="4" t="s">
        <v>35</v>
      </c>
    </row>
    <row r="167" spans="1:29" s="4" customFormat="1" x14ac:dyDescent="0.3">
      <c r="A167" s="4" t="s">
        <v>29</v>
      </c>
      <c r="B167" s="4">
        <v>9046384</v>
      </c>
      <c r="C167" s="4">
        <v>9046384</v>
      </c>
      <c r="D167" s="4" t="s">
        <v>192</v>
      </c>
      <c r="E167" s="4" t="s">
        <v>272</v>
      </c>
      <c r="F167" s="4" t="s">
        <v>206</v>
      </c>
      <c r="G167" s="5">
        <v>26747</v>
      </c>
      <c r="H167" s="4">
        <f>DAY(G167)</f>
        <v>24</v>
      </c>
      <c r="I167" s="4">
        <f>MONTH(G167)</f>
        <v>3</v>
      </c>
      <c r="J167" s="4">
        <f>YEAR(G167)</f>
        <v>1973</v>
      </c>
      <c r="K167" s="6">
        <v>7303241100032</v>
      </c>
      <c r="L167" s="5">
        <v>45200</v>
      </c>
      <c r="M167" s="5">
        <v>45474</v>
      </c>
      <c r="N167" s="5">
        <v>45838</v>
      </c>
      <c r="O167" s="4">
        <v>4578.8100000000004</v>
      </c>
      <c r="P167" s="4">
        <v>1</v>
      </c>
      <c r="Q167" s="4" t="s">
        <v>33</v>
      </c>
      <c r="R167" s="4" t="s">
        <v>34</v>
      </c>
      <c r="S167" s="4">
        <v>282064</v>
      </c>
      <c r="T167" s="4">
        <v>57720131657</v>
      </c>
      <c r="U167" s="4">
        <v>0</v>
      </c>
      <c r="V167" s="4">
        <v>0</v>
      </c>
      <c r="W167" s="4">
        <v>0</v>
      </c>
      <c r="X167" s="4">
        <v>232.42</v>
      </c>
      <c r="Y167" s="4">
        <v>4578.8100000000004</v>
      </c>
      <c r="Z167" s="4">
        <v>4346.3900000000003</v>
      </c>
      <c r="AA167" s="4" t="s">
        <v>35</v>
      </c>
    </row>
    <row r="168" spans="1:29" s="4" customFormat="1" x14ac:dyDescent="0.3">
      <c r="A168" s="4" t="s">
        <v>29</v>
      </c>
      <c r="B168" s="4">
        <v>9049136</v>
      </c>
      <c r="C168" s="4">
        <v>9049136</v>
      </c>
      <c r="D168" s="4" t="s">
        <v>66</v>
      </c>
      <c r="E168" s="4" t="s">
        <v>321</v>
      </c>
      <c r="F168" s="4" t="s">
        <v>322</v>
      </c>
      <c r="G168" s="5">
        <v>26731</v>
      </c>
      <c r="H168" s="4">
        <f>DAY(G168)</f>
        <v>8</v>
      </c>
      <c r="I168" s="4">
        <f>MONTH(G168)</f>
        <v>3</v>
      </c>
      <c r="J168" s="4">
        <f>YEAR(G168)</f>
        <v>1973</v>
      </c>
      <c r="K168" s="6">
        <v>7303081100035</v>
      </c>
      <c r="L168" s="5">
        <v>45444</v>
      </c>
      <c r="M168" s="5">
        <v>45444</v>
      </c>
      <c r="N168" s="5">
        <v>45838</v>
      </c>
      <c r="O168" s="4">
        <v>1634.15</v>
      </c>
      <c r="P168" s="4">
        <v>1</v>
      </c>
      <c r="Q168" s="4" t="s">
        <v>33</v>
      </c>
      <c r="R168" s="4" t="s">
        <v>34</v>
      </c>
      <c r="S168" s="4">
        <v>660564</v>
      </c>
      <c r="T168" s="4">
        <v>9110000011226</v>
      </c>
      <c r="U168" s="4">
        <v>0</v>
      </c>
      <c r="V168" s="4">
        <v>0</v>
      </c>
      <c r="W168" s="4">
        <v>0</v>
      </c>
      <c r="X168" s="4">
        <v>0</v>
      </c>
      <c r="Y168" s="4">
        <v>1634.15</v>
      </c>
      <c r="Z168" s="4">
        <v>1634.15</v>
      </c>
      <c r="AA168" s="4" t="s">
        <v>35</v>
      </c>
    </row>
    <row r="169" spans="1:29" s="4" customFormat="1" x14ac:dyDescent="0.3">
      <c r="A169" s="4" t="s">
        <v>29</v>
      </c>
      <c r="B169" s="4">
        <v>9069048</v>
      </c>
      <c r="C169" s="4">
        <v>9069048</v>
      </c>
      <c r="D169" s="4" t="s">
        <v>323</v>
      </c>
      <c r="E169" s="4" t="s">
        <v>31</v>
      </c>
      <c r="F169" s="4" t="s">
        <v>324</v>
      </c>
      <c r="G169" s="5">
        <v>27826</v>
      </c>
      <c r="H169" s="4">
        <f>DAY(G169)</f>
        <v>7</v>
      </c>
      <c r="I169" s="4">
        <f>MONTH(G169)</f>
        <v>3</v>
      </c>
      <c r="J169" s="4">
        <f>YEAR(G169)</f>
        <v>1976</v>
      </c>
      <c r="K169" s="6">
        <v>7607036100076</v>
      </c>
      <c r="L169" s="5">
        <v>45627</v>
      </c>
      <c r="M169" s="5">
        <v>45627</v>
      </c>
      <c r="N169" s="5">
        <v>45838</v>
      </c>
      <c r="O169" s="4">
        <v>2591.0100000000002</v>
      </c>
      <c r="P169" s="4">
        <v>1</v>
      </c>
      <c r="Q169" s="4" t="s">
        <v>33</v>
      </c>
      <c r="R169" s="4" t="s">
        <v>34</v>
      </c>
      <c r="S169" s="4">
        <v>770002</v>
      </c>
      <c r="T169" s="4">
        <v>77400626408</v>
      </c>
      <c r="U169" s="4">
        <v>0</v>
      </c>
      <c r="V169" s="4">
        <v>0</v>
      </c>
      <c r="W169" s="4">
        <v>0</v>
      </c>
      <c r="X169" s="4">
        <v>0</v>
      </c>
      <c r="Y169" s="4">
        <v>2591.0100000000002</v>
      </c>
      <c r="Z169" s="4">
        <v>2591.0100000000002</v>
      </c>
      <c r="AA169" s="4" t="s">
        <v>35</v>
      </c>
    </row>
    <row r="170" spans="1:29" s="4" customFormat="1" x14ac:dyDescent="0.3">
      <c r="A170" s="4" t="s">
        <v>29</v>
      </c>
      <c r="B170" s="4">
        <v>9097579</v>
      </c>
      <c r="C170" s="4">
        <v>9097579</v>
      </c>
      <c r="D170" s="4" t="s">
        <v>325</v>
      </c>
      <c r="E170" s="4" t="s">
        <v>31</v>
      </c>
      <c r="F170" s="4" t="s">
        <v>98</v>
      </c>
      <c r="G170" s="5">
        <v>28202</v>
      </c>
      <c r="H170" s="4">
        <f>DAY(G170)</f>
        <v>18</v>
      </c>
      <c r="I170" s="4">
        <f>MONTH(G170)</f>
        <v>3</v>
      </c>
      <c r="J170" s="4">
        <f>YEAR(G170)</f>
        <v>1977</v>
      </c>
      <c r="K170" s="6">
        <v>7703186100014</v>
      </c>
      <c r="L170" s="5">
        <v>41730</v>
      </c>
      <c r="M170" s="5">
        <v>45474</v>
      </c>
      <c r="N170" s="5">
        <v>45838</v>
      </c>
      <c r="O170" s="4">
        <v>4967.3100000000004</v>
      </c>
      <c r="P170" s="4">
        <v>1</v>
      </c>
      <c r="Q170" s="4" t="s">
        <v>33</v>
      </c>
      <c r="R170" s="4" t="s">
        <v>34</v>
      </c>
      <c r="S170" s="4">
        <v>282064</v>
      </c>
      <c r="T170" s="4">
        <v>57721228841</v>
      </c>
      <c r="U170" s="4">
        <v>0</v>
      </c>
      <c r="V170" s="4">
        <v>0</v>
      </c>
      <c r="W170" s="4">
        <v>0</v>
      </c>
      <c r="X170" s="4">
        <v>310.12</v>
      </c>
      <c r="Y170" s="4">
        <v>4967.3100000000004</v>
      </c>
      <c r="Z170" s="4">
        <v>4657.1899999999996</v>
      </c>
      <c r="AA170" s="4" t="s">
        <v>35</v>
      </c>
    </row>
    <row r="171" spans="1:29" s="4" customFormat="1" x14ac:dyDescent="0.3">
      <c r="A171" s="4" t="s">
        <v>29</v>
      </c>
      <c r="B171" s="4">
        <v>9268807</v>
      </c>
      <c r="C171" s="4">
        <v>9268807</v>
      </c>
      <c r="D171" s="4" t="s">
        <v>326</v>
      </c>
      <c r="E171" s="4" t="s">
        <v>327</v>
      </c>
      <c r="F171" s="4" t="s">
        <v>328</v>
      </c>
      <c r="G171" s="5">
        <v>28575</v>
      </c>
      <c r="H171" s="4">
        <f>DAY(G171)</f>
        <v>26</v>
      </c>
      <c r="I171" s="4">
        <f>MONTH(G171)</f>
        <v>3</v>
      </c>
      <c r="J171" s="4">
        <f>YEAR(G171)</f>
        <v>1978</v>
      </c>
      <c r="K171" s="6">
        <v>7803261100168</v>
      </c>
      <c r="L171" s="5">
        <v>45200</v>
      </c>
      <c r="M171" s="5">
        <v>45474</v>
      </c>
      <c r="N171" s="5">
        <v>45838</v>
      </c>
      <c r="O171" s="4">
        <v>1500</v>
      </c>
      <c r="P171" s="4">
        <v>1</v>
      </c>
      <c r="Q171" s="4" t="s">
        <v>33</v>
      </c>
      <c r="R171" s="4" t="s">
        <v>34</v>
      </c>
      <c r="S171" s="4">
        <v>282064</v>
      </c>
      <c r="T171" s="4">
        <v>63059691460</v>
      </c>
      <c r="U171" s="4">
        <v>0</v>
      </c>
      <c r="V171" s="4">
        <v>0</v>
      </c>
      <c r="W171" s="4">
        <v>0</v>
      </c>
      <c r="X171" s="4">
        <v>0</v>
      </c>
      <c r="Y171" s="4">
        <v>1500</v>
      </c>
      <c r="Z171" s="4">
        <v>1500</v>
      </c>
      <c r="AA171" s="4" t="s">
        <v>35</v>
      </c>
    </row>
    <row r="172" spans="1:29" s="4" customFormat="1" x14ac:dyDescent="0.3">
      <c r="A172" s="4" t="s">
        <v>29</v>
      </c>
      <c r="B172" s="4">
        <v>9278789</v>
      </c>
      <c r="C172" s="4">
        <v>9278789</v>
      </c>
      <c r="D172" s="4" t="s">
        <v>329</v>
      </c>
      <c r="E172" s="4" t="s">
        <v>103</v>
      </c>
      <c r="F172" s="4" t="s">
        <v>330</v>
      </c>
      <c r="G172" s="5">
        <v>23802</v>
      </c>
      <c r="H172" s="4">
        <f>DAY(G172)</f>
        <v>1</v>
      </c>
      <c r="I172" s="4">
        <f>MONTH(G172)</f>
        <v>3</v>
      </c>
      <c r="J172" s="4">
        <f>YEAR(G172)</f>
        <v>1965</v>
      </c>
      <c r="K172" s="6">
        <v>6503011100051</v>
      </c>
      <c r="L172" s="5">
        <v>45717</v>
      </c>
      <c r="M172" s="5">
        <v>45717</v>
      </c>
      <c r="N172" s="5">
        <v>45838</v>
      </c>
      <c r="O172" s="4">
        <v>2671.42</v>
      </c>
      <c r="P172" s="4">
        <v>1</v>
      </c>
      <c r="Q172" s="4" t="s">
        <v>33</v>
      </c>
      <c r="R172" s="4" t="s">
        <v>34</v>
      </c>
      <c r="S172" s="4">
        <v>90001</v>
      </c>
      <c r="T172" s="4">
        <v>51000002686</v>
      </c>
      <c r="U172" s="4">
        <v>0</v>
      </c>
      <c r="V172" s="4">
        <v>0</v>
      </c>
      <c r="W172" s="4">
        <v>0</v>
      </c>
      <c r="X172" s="4">
        <v>0</v>
      </c>
      <c r="Y172" s="4">
        <v>2671.42</v>
      </c>
      <c r="Z172" s="4">
        <v>2671.42</v>
      </c>
      <c r="AA172" s="4" t="s">
        <v>35</v>
      </c>
    </row>
    <row r="173" spans="1:29" s="4" customFormat="1" x14ac:dyDescent="0.3">
      <c r="A173" s="4" t="s">
        <v>29</v>
      </c>
      <c r="B173" s="4">
        <v>9342408</v>
      </c>
      <c r="C173" s="4">
        <v>9342408</v>
      </c>
      <c r="D173" s="4" t="s">
        <v>96</v>
      </c>
      <c r="E173" s="4" t="s">
        <v>52</v>
      </c>
      <c r="F173" s="4" t="s">
        <v>331</v>
      </c>
      <c r="G173" s="5">
        <v>30388</v>
      </c>
      <c r="H173" s="4">
        <f>DAY(G173)</f>
        <v>13</v>
      </c>
      <c r="I173" s="4">
        <f>MONTH(G173)</f>
        <v>3</v>
      </c>
      <c r="J173" s="4">
        <f>YEAR(G173)</f>
        <v>1983</v>
      </c>
      <c r="K173" s="6">
        <v>8303131100018</v>
      </c>
      <c r="L173" s="5">
        <v>40909</v>
      </c>
      <c r="M173" s="5">
        <v>45474</v>
      </c>
      <c r="N173" s="5">
        <v>45838</v>
      </c>
      <c r="O173" s="4">
        <v>1851.65</v>
      </c>
      <c r="P173" s="4">
        <v>1</v>
      </c>
      <c r="Q173" s="4" t="s">
        <v>33</v>
      </c>
      <c r="R173" s="4" t="s">
        <v>34</v>
      </c>
      <c r="S173" s="4">
        <v>281064</v>
      </c>
      <c r="T173" s="4">
        <v>62043978016</v>
      </c>
      <c r="U173" s="4">
        <v>0</v>
      </c>
      <c r="V173" s="4">
        <v>0</v>
      </c>
      <c r="W173" s="4">
        <v>0</v>
      </c>
      <c r="X173" s="4">
        <v>0</v>
      </c>
      <c r="Y173" s="4">
        <v>1851.65</v>
      </c>
      <c r="Z173" s="4">
        <v>1851.65</v>
      </c>
      <c r="AA173" s="4" t="s">
        <v>35</v>
      </c>
    </row>
    <row r="174" spans="1:29" s="4" customFormat="1" x14ac:dyDescent="0.3">
      <c r="A174" s="4" t="s">
        <v>29</v>
      </c>
      <c r="B174" s="4">
        <v>9947694</v>
      </c>
      <c r="C174" s="4">
        <v>9947694</v>
      </c>
      <c r="D174" s="4" t="s">
        <v>271</v>
      </c>
      <c r="E174" s="4" t="s">
        <v>40</v>
      </c>
      <c r="F174" s="4" t="s">
        <v>332</v>
      </c>
      <c r="G174" s="5">
        <v>31480</v>
      </c>
      <c r="H174" s="4">
        <f>DAY(G174)</f>
        <v>9</v>
      </c>
      <c r="I174" s="4">
        <f>MONTH(G174)</f>
        <v>3</v>
      </c>
      <c r="J174" s="4">
        <f>YEAR(G174)</f>
        <v>1986</v>
      </c>
      <c r="K174" s="6">
        <v>8603091100225</v>
      </c>
      <c r="L174" s="5">
        <v>40909</v>
      </c>
      <c r="M174" s="5">
        <v>45474</v>
      </c>
      <c r="N174" s="5">
        <v>45838</v>
      </c>
      <c r="O174" s="4">
        <v>1851.65</v>
      </c>
      <c r="P174" s="4">
        <v>1</v>
      </c>
      <c r="Q174" s="4" t="s">
        <v>33</v>
      </c>
      <c r="R174" s="4" t="s">
        <v>34</v>
      </c>
      <c r="S174" s="4">
        <v>281064</v>
      </c>
      <c r="T174" s="4">
        <v>62344810892</v>
      </c>
      <c r="U174" s="4">
        <v>0</v>
      </c>
      <c r="V174" s="4">
        <v>0</v>
      </c>
      <c r="W174" s="4">
        <v>0</v>
      </c>
      <c r="X174" s="4">
        <v>0</v>
      </c>
      <c r="Y174" s="4">
        <v>1851.65</v>
      </c>
      <c r="Z174" s="4">
        <v>1851.65</v>
      </c>
      <c r="AA174" s="4" t="s">
        <v>35</v>
      </c>
    </row>
    <row r="175" spans="1:29" s="4" customFormat="1" x14ac:dyDescent="0.3">
      <c r="A175" s="4" t="s">
        <v>333</v>
      </c>
      <c r="B175" s="4">
        <v>102055153</v>
      </c>
      <c r="C175" s="4" t="s">
        <v>334</v>
      </c>
      <c r="D175" s="4" t="s">
        <v>236</v>
      </c>
      <c r="E175" s="4" t="s">
        <v>40</v>
      </c>
      <c r="F175" s="4" t="s">
        <v>335</v>
      </c>
      <c r="G175" s="5">
        <v>29649</v>
      </c>
      <c r="H175" s="4">
        <f>DAY(G175)</f>
        <v>4</v>
      </c>
      <c r="I175" s="4">
        <f>MONTH(G175)</f>
        <v>3</v>
      </c>
      <c r="J175" s="4">
        <f>YEAR(G175)</f>
        <v>1981</v>
      </c>
      <c r="K175" s="6">
        <v>8103046100180</v>
      </c>
      <c r="L175" s="5">
        <v>43800</v>
      </c>
      <c r="M175" s="5">
        <v>45474</v>
      </c>
      <c r="N175" s="5">
        <v>45838</v>
      </c>
      <c r="O175" s="4">
        <v>1411.6</v>
      </c>
      <c r="P175" s="4">
        <v>1</v>
      </c>
      <c r="Q175" s="4" t="s">
        <v>33</v>
      </c>
      <c r="R175" s="4" t="s">
        <v>34</v>
      </c>
      <c r="S175" s="4">
        <v>282064</v>
      </c>
      <c r="T175" s="4">
        <v>62829145566</v>
      </c>
      <c r="U175" s="4">
        <v>0</v>
      </c>
      <c r="V175" s="4">
        <v>0</v>
      </c>
      <c r="W175" s="4">
        <v>0</v>
      </c>
      <c r="X175" s="4">
        <v>0</v>
      </c>
      <c r="Y175" s="4">
        <v>1411.6</v>
      </c>
      <c r="Z175" s="4">
        <v>1411.6</v>
      </c>
      <c r="AA175" s="4" t="s">
        <v>35</v>
      </c>
    </row>
    <row r="176" spans="1:29" s="4" customFormat="1" x14ac:dyDescent="0.3">
      <c r="A176" s="4" t="s">
        <v>333</v>
      </c>
      <c r="B176" s="4">
        <v>13522</v>
      </c>
      <c r="C176" s="4" t="s">
        <v>336</v>
      </c>
      <c r="D176" s="4" t="s">
        <v>185</v>
      </c>
      <c r="E176" s="4" t="s">
        <v>337</v>
      </c>
      <c r="F176" s="4" t="s">
        <v>338</v>
      </c>
      <c r="G176" s="5">
        <v>17227</v>
      </c>
      <c r="H176" s="4">
        <f>DAY(G176)</f>
        <v>1</v>
      </c>
      <c r="I176" s="4">
        <f>MONTH(G176)</f>
        <v>3</v>
      </c>
      <c r="J176" s="4">
        <f>YEAR(G176)</f>
        <v>1947</v>
      </c>
      <c r="K176" s="6">
        <v>4703011100026</v>
      </c>
      <c r="L176" s="5">
        <v>44440</v>
      </c>
      <c r="M176" s="5">
        <v>45474</v>
      </c>
      <c r="N176" s="5">
        <v>45838</v>
      </c>
      <c r="O176" s="4">
        <v>5866.46</v>
      </c>
      <c r="P176" s="4">
        <v>1</v>
      </c>
      <c r="Q176" s="4" t="s">
        <v>33</v>
      </c>
      <c r="R176" s="4" t="s">
        <v>34</v>
      </c>
      <c r="S176" s="4">
        <v>360164</v>
      </c>
      <c r="T176" s="4">
        <v>20000033066</v>
      </c>
      <c r="U176" s="4">
        <v>0</v>
      </c>
      <c r="V176" s="4">
        <v>0</v>
      </c>
      <c r="W176" s="4">
        <v>0</v>
      </c>
      <c r="X176" s="4">
        <v>264.95</v>
      </c>
      <c r="Y176" s="4">
        <v>5866.46</v>
      </c>
      <c r="Z176" s="4">
        <v>5601.51</v>
      </c>
      <c r="AA176" s="4" t="s">
        <v>35</v>
      </c>
    </row>
    <row r="177" spans="1:27" s="4" customFormat="1" x14ac:dyDescent="0.3">
      <c r="A177" s="4" t="s">
        <v>333</v>
      </c>
      <c r="B177" s="4">
        <v>18963</v>
      </c>
      <c r="C177" s="4" t="s">
        <v>339</v>
      </c>
      <c r="D177" s="4" t="s">
        <v>189</v>
      </c>
      <c r="E177" s="4" t="s">
        <v>72</v>
      </c>
      <c r="F177" s="4" t="s">
        <v>340</v>
      </c>
      <c r="G177" s="5">
        <v>21247</v>
      </c>
      <c r="H177" s="4">
        <f>DAY(G177)</f>
        <v>3</v>
      </c>
      <c r="I177" s="4">
        <f>MONTH(G177)</f>
        <v>3</v>
      </c>
      <c r="J177" s="4">
        <f>YEAR(G177)</f>
        <v>1958</v>
      </c>
      <c r="K177" s="6">
        <v>5803031100102</v>
      </c>
      <c r="L177" s="5">
        <v>38322</v>
      </c>
      <c r="M177" s="5">
        <v>45474</v>
      </c>
      <c r="N177" s="5">
        <v>45838</v>
      </c>
      <c r="O177" s="4">
        <v>2530.15</v>
      </c>
      <c r="P177" s="4">
        <v>1</v>
      </c>
      <c r="Q177" s="4" t="s">
        <v>33</v>
      </c>
      <c r="R177" s="4" t="s">
        <v>34</v>
      </c>
      <c r="S177" s="4">
        <v>90001</v>
      </c>
      <c r="T177" s="4">
        <v>51000560131</v>
      </c>
      <c r="U177" s="4">
        <v>0</v>
      </c>
      <c r="V177" s="4">
        <v>0</v>
      </c>
      <c r="W177" s="4">
        <v>0</v>
      </c>
      <c r="X177" s="4">
        <v>0</v>
      </c>
      <c r="Y177" s="4">
        <v>2530.15</v>
      </c>
      <c r="Z177" s="4">
        <v>2530.15</v>
      </c>
      <c r="AA177" s="4" t="s">
        <v>35</v>
      </c>
    </row>
    <row r="178" spans="1:27" s="4" customFormat="1" x14ac:dyDescent="0.3">
      <c r="A178" s="4" t="s">
        <v>333</v>
      </c>
      <c r="B178" s="4">
        <v>2101798</v>
      </c>
      <c r="C178" s="4" t="s">
        <v>341</v>
      </c>
      <c r="D178" s="4" t="s">
        <v>105</v>
      </c>
      <c r="E178" s="4" t="s">
        <v>342</v>
      </c>
      <c r="F178" s="4" t="s">
        <v>338</v>
      </c>
      <c r="G178" s="5">
        <v>20890</v>
      </c>
      <c r="H178" s="4">
        <f>DAY(G178)</f>
        <v>11</v>
      </c>
      <c r="I178" s="4">
        <f>MONTH(G178)</f>
        <v>3</v>
      </c>
      <c r="J178" s="4">
        <f>YEAR(G178)</f>
        <v>1957</v>
      </c>
      <c r="K178" s="6">
        <v>5703111100040</v>
      </c>
      <c r="L178" s="5">
        <v>44621</v>
      </c>
      <c r="M178" s="5">
        <v>45474</v>
      </c>
      <c r="N178" s="5">
        <v>45838</v>
      </c>
      <c r="O178" s="4">
        <v>1157.24</v>
      </c>
      <c r="P178" s="4">
        <v>1</v>
      </c>
      <c r="Q178" s="4" t="s">
        <v>33</v>
      </c>
      <c r="R178" s="4" t="s">
        <v>34</v>
      </c>
      <c r="S178" s="4">
        <v>282064</v>
      </c>
      <c r="T178" s="4">
        <v>62935682741</v>
      </c>
      <c r="U178" s="4">
        <v>0</v>
      </c>
      <c r="V178" s="4">
        <v>0</v>
      </c>
      <c r="W178" s="4">
        <v>0</v>
      </c>
      <c r="X178" s="4">
        <v>0</v>
      </c>
      <c r="Y178" s="4">
        <v>1157.24</v>
      </c>
      <c r="Z178" s="4">
        <v>1157.24</v>
      </c>
      <c r="AA178" s="4" t="s">
        <v>35</v>
      </c>
    </row>
    <row r="179" spans="1:27" s="4" customFormat="1" x14ac:dyDescent="0.3">
      <c r="A179" s="4" t="s">
        <v>333</v>
      </c>
      <c r="B179" s="4">
        <v>2106229</v>
      </c>
      <c r="C179" s="4" t="s">
        <v>343</v>
      </c>
      <c r="D179" s="4" t="s">
        <v>94</v>
      </c>
      <c r="E179" s="4" t="s">
        <v>344</v>
      </c>
      <c r="F179" s="4" t="s">
        <v>345</v>
      </c>
      <c r="G179" s="5">
        <v>18324</v>
      </c>
      <c r="H179" s="4">
        <f>DAY(G179)</f>
        <v>2</v>
      </c>
      <c r="I179" s="4">
        <f>MONTH(G179)</f>
        <v>3</v>
      </c>
      <c r="J179" s="4">
        <f>YEAR(G179)</f>
        <v>1950</v>
      </c>
      <c r="K179" s="6">
        <v>5003021100176</v>
      </c>
      <c r="L179" s="5">
        <v>42644</v>
      </c>
      <c r="M179" s="5">
        <v>45474</v>
      </c>
      <c r="N179" s="5">
        <v>45838</v>
      </c>
      <c r="O179" s="4">
        <v>897.46</v>
      </c>
      <c r="P179" s="4">
        <v>1</v>
      </c>
      <c r="Q179" s="4" t="s">
        <v>33</v>
      </c>
      <c r="R179" s="4" t="s">
        <v>34</v>
      </c>
      <c r="S179" s="4">
        <v>770001</v>
      </c>
      <c r="T179" s="4">
        <v>77046318500</v>
      </c>
      <c r="U179" s="4">
        <v>0</v>
      </c>
      <c r="V179" s="4">
        <v>0</v>
      </c>
      <c r="W179" s="4">
        <v>0</v>
      </c>
      <c r="X179" s="4">
        <v>0</v>
      </c>
      <c r="Y179" s="4">
        <v>897.46</v>
      </c>
      <c r="Z179" s="4">
        <v>897.46</v>
      </c>
      <c r="AA179" s="4" t="s">
        <v>35</v>
      </c>
    </row>
    <row r="180" spans="1:27" s="4" customFormat="1" x14ac:dyDescent="0.3">
      <c r="A180" s="4" t="s">
        <v>333</v>
      </c>
      <c r="B180" s="4">
        <v>217831</v>
      </c>
      <c r="C180" s="4" t="s">
        <v>346</v>
      </c>
      <c r="D180" s="4" t="s">
        <v>282</v>
      </c>
      <c r="E180" s="4" t="s">
        <v>347</v>
      </c>
      <c r="F180" s="4" t="s">
        <v>348</v>
      </c>
      <c r="G180" s="5">
        <v>18341</v>
      </c>
      <c r="H180" s="4">
        <f>DAY(G180)</f>
        <v>19</v>
      </c>
      <c r="I180" s="4">
        <f>MONTH(G180)</f>
        <v>3</v>
      </c>
      <c r="J180" s="4">
        <f>YEAR(G180)</f>
        <v>1950</v>
      </c>
      <c r="K180" s="6">
        <v>5003191100030</v>
      </c>
      <c r="L180" s="5">
        <v>45627</v>
      </c>
      <c r="M180" s="5">
        <v>45566</v>
      </c>
      <c r="N180" s="5">
        <v>45838</v>
      </c>
      <c r="O180" s="4">
        <v>4071.41</v>
      </c>
      <c r="P180" s="4">
        <v>1</v>
      </c>
      <c r="Q180" s="4" t="s">
        <v>33</v>
      </c>
      <c r="R180" s="4" t="s">
        <v>34</v>
      </c>
      <c r="S180" s="4">
        <v>90005</v>
      </c>
      <c r="T180" s="4">
        <v>51000925466</v>
      </c>
      <c r="U180" s="4">
        <v>0</v>
      </c>
      <c r="V180" s="4">
        <v>0</v>
      </c>
      <c r="W180" s="4">
        <v>0</v>
      </c>
      <c r="X180" s="4">
        <v>0</v>
      </c>
      <c r="Y180" s="4">
        <v>4071.41</v>
      </c>
      <c r="Z180" s="4">
        <v>4071.41</v>
      </c>
      <c r="AA180" s="4" t="s">
        <v>35</v>
      </c>
    </row>
    <row r="181" spans="1:27" s="4" customFormat="1" x14ac:dyDescent="0.3">
      <c r="A181" s="4" t="s">
        <v>333</v>
      </c>
      <c r="B181" s="4">
        <v>218939</v>
      </c>
      <c r="C181" s="4" t="s">
        <v>349</v>
      </c>
      <c r="D181" s="4" t="s">
        <v>325</v>
      </c>
      <c r="E181" s="4" t="s">
        <v>350</v>
      </c>
      <c r="F181" s="4" t="s">
        <v>124</v>
      </c>
      <c r="G181" s="5">
        <v>18325</v>
      </c>
      <c r="H181" s="4">
        <f>DAY(G181)</f>
        <v>3</v>
      </c>
      <c r="I181" s="4">
        <f>MONTH(G181)</f>
        <v>3</v>
      </c>
      <c r="J181" s="4">
        <f>YEAR(G181)</f>
        <v>1950</v>
      </c>
      <c r="K181" s="6">
        <v>5003031100380</v>
      </c>
      <c r="L181" s="5">
        <v>44621</v>
      </c>
      <c r="M181" s="5">
        <v>45474</v>
      </c>
      <c r="N181" s="5">
        <v>45838</v>
      </c>
      <c r="O181" s="4">
        <v>2561.41</v>
      </c>
      <c r="P181" s="4">
        <v>1</v>
      </c>
      <c r="Q181" s="4" t="s">
        <v>33</v>
      </c>
      <c r="R181" s="4" t="s">
        <v>34</v>
      </c>
      <c r="S181" s="4">
        <v>90003</v>
      </c>
      <c r="T181" s="4">
        <v>51001907496</v>
      </c>
      <c r="U181" s="4">
        <v>0</v>
      </c>
      <c r="V181" s="4">
        <v>0</v>
      </c>
      <c r="W181" s="4">
        <v>0</v>
      </c>
      <c r="X181" s="4">
        <v>0</v>
      </c>
      <c r="Y181" s="4">
        <v>2561.41</v>
      </c>
      <c r="Z181" s="4">
        <v>2561.41</v>
      </c>
      <c r="AA181" s="4" t="s">
        <v>35</v>
      </c>
    </row>
    <row r="182" spans="1:27" s="4" customFormat="1" x14ac:dyDescent="0.3">
      <c r="A182" s="4" t="s">
        <v>333</v>
      </c>
      <c r="B182" s="4">
        <v>2248994</v>
      </c>
      <c r="C182" s="4" t="s">
        <v>351</v>
      </c>
      <c r="D182" s="4" t="s">
        <v>66</v>
      </c>
      <c r="E182" s="4" t="s">
        <v>31</v>
      </c>
      <c r="F182" s="4" t="s">
        <v>352</v>
      </c>
      <c r="G182" s="5">
        <v>24541</v>
      </c>
      <c r="H182" s="4">
        <f>DAY(G182)</f>
        <v>10</v>
      </c>
      <c r="I182" s="4">
        <f>MONTH(G182)</f>
        <v>3</v>
      </c>
      <c r="J182" s="4">
        <f>YEAR(G182)</f>
        <v>1967</v>
      </c>
      <c r="K182" s="6">
        <v>6703101100249</v>
      </c>
      <c r="L182" s="5">
        <v>45839</v>
      </c>
      <c r="M182" s="5">
        <v>45839</v>
      </c>
      <c r="O182" s="4">
        <v>4696.03</v>
      </c>
      <c r="P182" s="4">
        <v>1</v>
      </c>
      <c r="Q182" s="4" t="s">
        <v>33</v>
      </c>
      <c r="R182" s="4" t="s">
        <v>34</v>
      </c>
      <c r="S182" s="4">
        <v>90001</v>
      </c>
      <c r="T182" s="4">
        <v>52001389787</v>
      </c>
      <c r="U182" s="4">
        <v>1761</v>
      </c>
      <c r="V182" s="4">
        <v>0</v>
      </c>
      <c r="W182" s="4">
        <v>0</v>
      </c>
      <c r="X182" s="4">
        <v>512.12</v>
      </c>
      <c r="Y182" s="4">
        <v>4696.03</v>
      </c>
      <c r="Z182" s="4">
        <v>2422.91</v>
      </c>
      <c r="AA182" s="4" t="s">
        <v>35</v>
      </c>
    </row>
    <row r="183" spans="1:27" s="4" customFormat="1" x14ac:dyDescent="0.3">
      <c r="A183" s="4" t="s">
        <v>333</v>
      </c>
      <c r="B183" s="4">
        <v>2266323</v>
      </c>
      <c r="C183" s="4" t="s">
        <v>353</v>
      </c>
      <c r="D183" s="4" t="s">
        <v>354</v>
      </c>
      <c r="E183" s="4" t="s">
        <v>355</v>
      </c>
      <c r="F183" s="4" t="s">
        <v>356</v>
      </c>
      <c r="G183" s="5">
        <v>31846</v>
      </c>
      <c r="H183" s="4">
        <f>DAY(G183)</f>
        <v>10</v>
      </c>
      <c r="I183" s="4">
        <f>MONTH(G183)</f>
        <v>3</v>
      </c>
      <c r="J183" s="4">
        <f>YEAR(G183)</f>
        <v>1987</v>
      </c>
      <c r="K183" s="6">
        <v>8703101100759</v>
      </c>
      <c r="L183" s="5">
        <v>42887</v>
      </c>
      <c r="M183" s="5">
        <v>45474</v>
      </c>
      <c r="N183" s="5">
        <v>45838</v>
      </c>
      <c r="O183" s="4">
        <v>4085.37</v>
      </c>
      <c r="P183" s="4">
        <v>1</v>
      </c>
      <c r="Q183" s="4" t="s">
        <v>33</v>
      </c>
      <c r="R183" s="4" t="s">
        <v>34</v>
      </c>
      <c r="S183" s="4">
        <v>770002</v>
      </c>
      <c r="T183" s="4">
        <v>77049152100</v>
      </c>
      <c r="U183" s="4">
        <v>0</v>
      </c>
      <c r="V183" s="4">
        <v>0</v>
      </c>
      <c r="W183" s="4">
        <v>0</v>
      </c>
      <c r="X183" s="4">
        <v>133.74</v>
      </c>
      <c r="Y183" s="4">
        <v>4085.37</v>
      </c>
      <c r="Z183" s="4">
        <v>3951.63</v>
      </c>
      <c r="AA183" s="4" t="s">
        <v>35</v>
      </c>
    </row>
    <row r="184" spans="1:27" s="4" customFormat="1" x14ac:dyDescent="0.3">
      <c r="A184" s="4" t="s">
        <v>333</v>
      </c>
      <c r="B184" s="4">
        <v>2344942</v>
      </c>
      <c r="C184" s="4" t="s">
        <v>357</v>
      </c>
      <c r="D184" s="4" t="s">
        <v>96</v>
      </c>
      <c r="E184" s="4" t="s">
        <v>358</v>
      </c>
      <c r="F184" s="4" t="s">
        <v>359</v>
      </c>
      <c r="G184" s="5">
        <v>27111</v>
      </c>
      <c r="H184" s="4">
        <f>DAY(G184)</f>
        <v>23</v>
      </c>
      <c r="I184" s="4">
        <f>MONTH(G184)</f>
        <v>3</v>
      </c>
      <c r="J184" s="4">
        <f>YEAR(G184)</f>
        <v>1974</v>
      </c>
      <c r="K184" s="6">
        <v>7403231100149</v>
      </c>
      <c r="L184" s="5">
        <v>40210</v>
      </c>
      <c r="M184" s="5">
        <v>45474</v>
      </c>
      <c r="N184" s="5">
        <v>45838</v>
      </c>
      <c r="O184" s="4">
        <v>2716.77</v>
      </c>
      <c r="P184" s="4">
        <v>1</v>
      </c>
      <c r="Q184" s="4" t="s">
        <v>33</v>
      </c>
      <c r="R184" s="4" t="s">
        <v>34</v>
      </c>
      <c r="S184" s="4">
        <v>90001</v>
      </c>
      <c r="T184" s="4">
        <v>51000383302</v>
      </c>
      <c r="U184" s="4">
        <v>0</v>
      </c>
      <c r="V184" s="4">
        <v>0</v>
      </c>
      <c r="W184" s="4">
        <v>0</v>
      </c>
      <c r="X184" s="4">
        <v>0</v>
      </c>
      <c r="Y184" s="4">
        <v>2716.77</v>
      </c>
      <c r="Z184" s="4">
        <v>2716.77</v>
      </c>
      <c r="AA184" s="4" t="s">
        <v>35</v>
      </c>
    </row>
    <row r="185" spans="1:27" s="4" customFormat="1" x14ac:dyDescent="0.3">
      <c r="A185" s="4" t="s">
        <v>333</v>
      </c>
      <c r="B185" s="4">
        <v>23498</v>
      </c>
      <c r="C185" s="4" t="s">
        <v>360</v>
      </c>
      <c r="D185" s="4" t="s">
        <v>361</v>
      </c>
      <c r="E185" s="4" t="s">
        <v>362</v>
      </c>
      <c r="F185" s="4" t="s">
        <v>138</v>
      </c>
      <c r="G185" s="5">
        <v>22348</v>
      </c>
      <c r="H185" s="4">
        <f>DAY(G185)</f>
        <v>8</v>
      </c>
      <c r="I185" s="4">
        <f>MONTH(G185)</f>
        <v>3</v>
      </c>
      <c r="J185" s="4">
        <f>YEAR(G185)</f>
        <v>1961</v>
      </c>
      <c r="K185" s="6">
        <v>6103081100022</v>
      </c>
      <c r="L185" s="5">
        <v>40330</v>
      </c>
      <c r="M185" s="5">
        <v>45474</v>
      </c>
      <c r="N185" s="5">
        <v>45838</v>
      </c>
      <c r="O185" s="4">
        <v>941.39</v>
      </c>
      <c r="P185" s="4">
        <v>1</v>
      </c>
      <c r="Q185" s="4" t="s">
        <v>33</v>
      </c>
      <c r="R185" s="4" t="s">
        <v>34</v>
      </c>
      <c r="S185" s="4">
        <v>280164</v>
      </c>
      <c r="T185" s="4">
        <v>57710036370</v>
      </c>
      <c r="U185" s="4">
        <v>0</v>
      </c>
      <c r="V185" s="4">
        <v>0</v>
      </c>
      <c r="W185" s="4">
        <v>0</v>
      </c>
      <c r="X185" s="4">
        <v>0</v>
      </c>
      <c r="Y185" s="4">
        <v>941.39</v>
      </c>
      <c r="Z185" s="4">
        <v>941.39</v>
      </c>
      <c r="AA185" s="4" t="s">
        <v>35</v>
      </c>
    </row>
    <row r="186" spans="1:27" s="4" customFormat="1" x14ac:dyDescent="0.3">
      <c r="A186" s="4" t="s">
        <v>333</v>
      </c>
      <c r="B186" s="4">
        <v>2452953</v>
      </c>
      <c r="C186" s="4" t="s">
        <v>363</v>
      </c>
      <c r="D186" s="4" t="s">
        <v>39</v>
      </c>
      <c r="E186" s="4" t="s">
        <v>131</v>
      </c>
      <c r="F186" s="4" t="s">
        <v>126</v>
      </c>
      <c r="G186" s="5">
        <v>29301</v>
      </c>
      <c r="H186" s="4">
        <f>DAY(G186)</f>
        <v>21</v>
      </c>
      <c r="I186" s="4">
        <f>MONTH(G186)</f>
        <v>3</v>
      </c>
      <c r="J186" s="4">
        <f>YEAR(G186)</f>
        <v>1980</v>
      </c>
      <c r="K186" s="6">
        <v>8003211100397</v>
      </c>
      <c r="L186" s="5">
        <v>41487</v>
      </c>
      <c r="M186" s="5">
        <v>45474</v>
      </c>
      <c r="N186" s="5">
        <v>45838</v>
      </c>
      <c r="O186" s="4">
        <v>925.86</v>
      </c>
      <c r="P186" s="4">
        <v>1</v>
      </c>
      <c r="Q186" s="4" t="s">
        <v>33</v>
      </c>
      <c r="R186" s="4" t="s">
        <v>34</v>
      </c>
      <c r="S186" s="4">
        <v>280164</v>
      </c>
      <c r="T186" s="4">
        <v>62403375381</v>
      </c>
      <c r="U186" s="4">
        <v>0</v>
      </c>
      <c r="V186" s="4">
        <v>0</v>
      </c>
      <c r="W186" s="4">
        <v>0</v>
      </c>
      <c r="X186" s="4">
        <v>0</v>
      </c>
      <c r="Y186" s="4">
        <v>925.86</v>
      </c>
      <c r="Z186" s="4">
        <v>925.86</v>
      </c>
      <c r="AA186" s="4" t="s">
        <v>35</v>
      </c>
    </row>
    <row r="187" spans="1:27" s="4" customFormat="1" x14ac:dyDescent="0.3">
      <c r="A187" s="4" t="s">
        <v>333</v>
      </c>
      <c r="B187" s="4">
        <v>28848</v>
      </c>
      <c r="C187" s="4" t="s">
        <v>364</v>
      </c>
      <c r="D187" s="4" t="s">
        <v>66</v>
      </c>
      <c r="E187" s="4" t="s">
        <v>365</v>
      </c>
      <c r="F187" s="4" t="s">
        <v>366</v>
      </c>
      <c r="G187" s="5">
        <v>19077</v>
      </c>
      <c r="H187" s="4">
        <f>DAY(G187)</f>
        <v>24</v>
      </c>
      <c r="I187" s="4">
        <f>MONTH(G187)</f>
        <v>3</v>
      </c>
      <c r="J187" s="4">
        <f>YEAR(G187)</f>
        <v>1952</v>
      </c>
      <c r="K187" s="6">
        <v>5203241100077</v>
      </c>
      <c r="L187" s="5">
        <v>41699</v>
      </c>
      <c r="M187" s="5">
        <v>45474</v>
      </c>
      <c r="N187" s="5">
        <v>45838</v>
      </c>
      <c r="O187" s="4">
        <v>2555.88</v>
      </c>
      <c r="P187" s="4">
        <v>1</v>
      </c>
      <c r="Q187" s="4" t="s">
        <v>33</v>
      </c>
      <c r="R187" s="4" t="s">
        <v>34</v>
      </c>
      <c r="S187" s="4">
        <v>90001</v>
      </c>
      <c r="T187" s="4">
        <v>51000402439</v>
      </c>
      <c r="U187" s="4">
        <v>0</v>
      </c>
      <c r="V187" s="4">
        <v>0</v>
      </c>
      <c r="W187" s="4">
        <v>0</v>
      </c>
      <c r="X187" s="4">
        <v>0</v>
      </c>
      <c r="Y187" s="4">
        <v>2555.88</v>
      </c>
      <c r="Z187" s="4">
        <v>2555.88</v>
      </c>
      <c r="AA187" s="4" t="s">
        <v>35</v>
      </c>
    </row>
    <row r="188" spans="1:27" s="4" customFormat="1" x14ac:dyDescent="0.3">
      <c r="A188" s="4" t="s">
        <v>333</v>
      </c>
      <c r="B188" s="4">
        <v>300034</v>
      </c>
      <c r="C188" s="4" t="s">
        <v>367</v>
      </c>
      <c r="D188" s="4" t="s">
        <v>30</v>
      </c>
      <c r="E188" s="4" t="s">
        <v>49</v>
      </c>
      <c r="F188" s="4" t="s">
        <v>368</v>
      </c>
      <c r="G188" s="5">
        <v>22351</v>
      </c>
      <c r="H188" s="4">
        <f>DAY(G188)</f>
        <v>11</v>
      </c>
      <c r="I188" s="4">
        <f>MONTH(G188)</f>
        <v>3</v>
      </c>
      <c r="J188" s="4">
        <f>YEAR(G188)</f>
        <v>1961</v>
      </c>
      <c r="K188" s="6">
        <v>6103111100059</v>
      </c>
      <c r="L188" s="5">
        <v>35309</v>
      </c>
      <c r="M188" s="5">
        <v>45474</v>
      </c>
      <c r="N188" s="5">
        <v>45838</v>
      </c>
      <c r="O188" s="4">
        <v>4824.92</v>
      </c>
      <c r="P188" s="4">
        <v>1</v>
      </c>
      <c r="Q188" s="4" t="s">
        <v>33</v>
      </c>
      <c r="R188" s="4" t="s">
        <v>34</v>
      </c>
      <c r="S188" s="4">
        <v>660564</v>
      </c>
      <c r="T188" s="4">
        <v>9110000489932</v>
      </c>
      <c r="U188" s="4">
        <v>0</v>
      </c>
      <c r="V188" s="4">
        <v>0</v>
      </c>
      <c r="W188" s="4">
        <v>0</v>
      </c>
      <c r="X188" s="4">
        <v>56.65</v>
      </c>
      <c r="Y188" s="4">
        <v>4824.92</v>
      </c>
      <c r="Z188" s="4">
        <v>4768.2700000000004</v>
      </c>
      <c r="AA188" s="4" t="s">
        <v>35</v>
      </c>
    </row>
    <row r="189" spans="1:27" s="4" customFormat="1" x14ac:dyDescent="0.3">
      <c r="A189" s="4" t="s">
        <v>333</v>
      </c>
      <c r="B189" s="4">
        <v>300684</v>
      </c>
      <c r="C189" s="4" t="s">
        <v>369</v>
      </c>
      <c r="D189" s="4" t="s">
        <v>189</v>
      </c>
      <c r="E189" s="4" t="s">
        <v>49</v>
      </c>
      <c r="F189" s="4" t="s">
        <v>370</v>
      </c>
      <c r="G189" s="5">
        <v>25633</v>
      </c>
      <c r="H189" s="4">
        <f>DAY(G189)</f>
        <v>6</v>
      </c>
      <c r="I189" s="4">
        <f>MONTH(G189)</f>
        <v>3</v>
      </c>
      <c r="J189" s="4">
        <f>YEAR(G189)</f>
        <v>1970</v>
      </c>
      <c r="K189" s="6">
        <v>7003051100367</v>
      </c>
      <c r="L189" s="5">
        <v>38200</v>
      </c>
      <c r="M189" s="5">
        <v>45474</v>
      </c>
      <c r="N189" s="5">
        <v>45838</v>
      </c>
      <c r="O189" s="4">
        <v>811.04</v>
      </c>
      <c r="P189" s="4">
        <v>1</v>
      </c>
      <c r="Q189" s="4" t="s">
        <v>33</v>
      </c>
      <c r="R189" s="4" t="s">
        <v>34</v>
      </c>
      <c r="S189" s="4">
        <v>90001</v>
      </c>
      <c r="T189" s="4">
        <v>51000431269</v>
      </c>
      <c r="U189" s="4">
        <v>0</v>
      </c>
      <c r="V189" s="4">
        <v>0</v>
      </c>
      <c r="W189" s="4">
        <v>0</v>
      </c>
      <c r="X189" s="4">
        <v>0</v>
      </c>
      <c r="Y189" s="4">
        <v>811.04</v>
      </c>
      <c r="Z189" s="4">
        <v>811.04</v>
      </c>
      <c r="AA189" s="4" t="s">
        <v>35</v>
      </c>
    </row>
    <row r="190" spans="1:27" s="4" customFormat="1" x14ac:dyDescent="0.3">
      <c r="A190" s="4" t="s">
        <v>333</v>
      </c>
      <c r="B190" s="4">
        <v>300704</v>
      </c>
      <c r="C190" s="4" t="s">
        <v>371</v>
      </c>
      <c r="D190" s="4" t="s">
        <v>236</v>
      </c>
      <c r="E190" s="4" t="s">
        <v>128</v>
      </c>
      <c r="F190" s="4" t="s">
        <v>372</v>
      </c>
      <c r="G190" s="5">
        <v>24183</v>
      </c>
      <c r="H190" s="4">
        <f>DAY(G190)</f>
        <v>17</v>
      </c>
      <c r="I190" s="4">
        <f>MONTH(G190)</f>
        <v>3</v>
      </c>
      <c r="J190" s="4">
        <f>YEAR(G190)</f>
        <v>1966</v>
      </c>
      <c r="K190" s="6">
        <v>6603171100055</v>
      </c>
      <c r="L190" s="5">
        <v>38200</v>
      </c>
      <c r="M190" s="5">
        <v>45474</v>
      </c>
      <c r="N190" s="5">
        <v>45838</v>
      </c>
      <c r="O190" s="4">
        <v>2091.0500000000002</v>
      </c>
      <c r="P190" s="4">
        <v>1</v>
      </c>
      <c r="Q190" s="4" t="s">
        <v>33</v>
      </c>
      <c r="R190" s="4" t="s">
        <v>34</v>
      </c>
      <c r="S190" s="4">
        <v>90004</v>
      </c>
      <c r="T190" s="4">
        <v>51000812068</v>
      </c>
      <c r="U190" s="4">
        <v>0</v>
      </c>
      <c r="V190" s="4">
        <v>0</v>
      </c>
      <c r="W190" s="4">
        <v>0</v>
      </c>
      <c r="X190" s="4">
        <v>0</v>
      </c>
      <c r="Y190" s="4">
        <v>2091.0500000000002</v>
      </c>
      <c r="Z190" s="4">
        <v>2091.0500000000002</v>
      </c>
      <c r="AA190" s="4" t="s">
        <v>35</v>
      </c>
    </row>
    <row r="191" spans="1:27" s="4" customFormat="1" x14ac:dyDescent="0.3">
      <c r="A191" s="4" t="s">
        <v>333</v>
      </c>
      <c r="B191" s="4">
        <v>3007680</v>
      </c>
      <c r="C191" s="4" t="s">
        <v>373</v>
      </c>
      <c r="D191" s="4" t="s">
        <v>66</v>
      </c>
      <c r="E191" s="4" t="s">
        <v>64</v>
      </c>
      <c r="F191" s="4" t="s">
        <v>156</v>
      </c>
      <c r="G191" s="5">
        <v>20168</v>
      </c>
      <c r="H191" s="4">
        <f>DAY(G191)</f>
        <v>20</v>
      </c>
      <c r="I191" s="4">
        <f>MONTH(G191)</f>
        <v>3</v>
      </c>
      <c r="J191" s="4">
        <f>YEAR(G191)</f>
        <v>1955</v>
      </c>
      <c r="K191" s="6">
        <v>5503201100144</v>
      </c>
      <c r="L191" s="5">
        <v>45809</v>
      </c>
      <c r="M191" s="5">
        <v>45748</v>
      </c>
      <c r="N191" s="5">
        <v>45838</v>
      </c>
      <c r="O191" s="4">
        <v>1994.41</v>
      </c>
      <c r="P191" s="4">
        <v>1</v>
      </c>
      <c r="Q191" s="4" t="s">
        <v>33</v>
      </c>
      <c r="R191" s="4" t="s">
        <v>34</v>
      </c>
      <c r="S191" s="4">
        <v>90005</v>
      </c>
      <c r="T191" s="4">
        <v>52001357575</v>
      </c>
      <c r="U191" s="4">
        <v>0</v>
      </c>
      <c r="V191" s="4">
        <v>0</v>
      </c>
      <c r="W191" s="4">
        <v>0</v>
      </c>
      <c r="X191" s="4">
        <v>0</v>
      </c>
      <c r="Y191" s="4">
        <v>1994.41</v>
      </c>
      <c r="Z191" s="4">
        <v>1994.41</v>
      </c>
      <c r="AA191" s="4" t="s">
        <v>35</v>
      </c>
    </row>
    <row r="192" spans="1:27" s="4" customFormat="1" x14ac:dyDescent="0.3">
      <c r="A192" s="4" t="s">
        <v>333</v>
      </c>
      <c r="B192" s="4">
        <v>300769</v>
      </c>
      <c r="C192" s="4" t="s">
        <v>374</v>
      </c>
      <c r="D192" s="4" t="s">
        <v>105</v>
      </c>
      <c r="E192" s="4" t="s">
        <v>37</v>
      </c>
      <c r="F192" s="4" t="s">
        <v>375</v>
      </c>
      <c r="G192" s="5">
        <v>20526</v>
      </c>
      <c r="H192" s="4">
        <f>DAY(G192)</f>
        <v>12</v>
      </c>
      <c r="I192" s="4">
        <f>MONTH(G192)</f>
        <v>3</v>
      </c>
      <c r="J192" s="4">
        <f>YEAR(G192)</f>
        <v>1956</v>
      </c>
      <c r="K192" s="6">
        <v>5212286100090</v>
      </c>
      <c r="L192" s="5">
        <v>38200</v>
      </c>
      <c r="M192" s="5">
        <v>45474</v>
      </c>
      <c r="N192" s="5">
        <v>45838</v>
      </c>
      <c r="O192" s="4">
        <v>833.45</v>
      </c>
      <c r="P192" s="4">
        <v>1</v>
      </c>
      <c r="Q192" s="4" t="s">
        <v>33</v>
      </c>
      <c r="R192" s="4" t="s">
        <v>34</v>
      </c>
      <c r="S192" s="4">
        <v>660564</v>
      </c>
      <c r="T192" s="4">
        <v>9110002419850</v>
      </c>
      <c r="U192" s="4">
        <v>0</v>
      </c>
      <c r="V192" s="4">
        <v>0</v>
      </c>
      <c r="W192" s="4">
        <v>0</v>
      </c>
      <c r="X192" s="4">
        <v>0</v>
      </c>
      <c r="Y192" s="4">
        <v>833.45</v>
      </c>
      <c r="Z192" s="4">
        <v>833.45</v>
      </c>
      <c r="AA192" s="4" t="s">
        <v>35</v>
      </c>
    </row>
    <row r="193" spans="1:27" s="4" customFormat="1" x14ac:dyDescent="0.3">
      <c r="A193" s="4" t="s">
        <v>333</v>
      </c>
      <c r="B193" s="4">
        <v>300844</v>
      </c>
      <c r="C193" s="4" t="s">
        <v>376</v>
      </c>
      <c r="D193" s="4" t="s">
        <v>66</v>
      </c>
      <c r="E193" s="4" t="s">
        <v>69</v>
      </c>
      <c r="F193" s="4" t="s">
        <v>231</v>
      </c>
      <c r="G193" s="5">
        <v>29286</v>
      </c>
      <c r="H193" s="4">
        <f>DAY(G193)</f>
        <v>6</v>
      </c>
      <c r="I193" s="4">
        <f>MONTH(G193)</f>
        <v>3</v>
      </c>
      <c r="J193" s="4">
        <f>YEAR(G193)</f>
        <v>1980</v>
      </c>
      <c r="K193" s="6">
        <v>8003061100323</v>
      </c>
      <c r="L193" s="5">
        <v>38200</v>
      </c>
      <c r="M193" s="5">
        <v>45474</v>
      </c>
      <c r="N193" s="5">
        <v>45838</v>
      </c>
      <c r="O193" s="4">
        <v>811.04</v>
      </c>
      <c r="P193" s="4">
        <v>1</v>
      </c>
      <c r="Q193" s="4" t="s">
        <v>33</v>
      </c>
      <c r="R193" s="4" t="s">
        <v>34</v>
      </c>
      <c r="S193" s="4">
        <v>661164</v>
      </c>
      <c r="T193" s="4">
        <v>9110002921009</v>
      </c>
      <c r="U193" s="4">
        <v>0</v>
      </c>
      <c r="V193" s="4">
        <v>0</v>
      </c>
      <c r="W193" s="4">
        <v>0</v>
      </c>
      <c r="X193" s="4">
        <v>0</v>
      </c>
      <c r="Y193" s="4">
        <v>811.04</v>
      </c>
      <c r="Z193" s="4">
        <v>811.04</v>
      </c>
      <c r="AA193" s="4" t="s">
        <v>35</v>
      </c>
    </row>
    <row r="194" spans="1:27" s="4" customFormat="1" x14ac:dyDescent="0.3">
      <c r="A194" s="4" t="s">
        <v>333</v>
      </c>
      <c r="B194" s="4">
        <v>301079</v>
      </c>
      <c r="C194" s="4" t="s">
        <v>377</v>
      </c>
      <c r="D194" s="4" t="s">
        <v>378</v>
      </c>
      <c r="E194" s="4" t="s">
        <v>31</v>
      </c>
      <c r="F194" s="4" t="s">
        <v>124</v>
      </c>
      <c r="G194" s="5">
        <v>23819</v>
      </c>
      <c r="H194" s="4">
        <f>DAY(G194)</f>
        <v>18</v>
      </c>
      <c r="I194" s="4">
        <f>MONTH(G194)</f>
        <v>3</v>
      </c>
      <c r="J194" s="4">
        <f>YEAR(G194)</f>
        <v>1965</v>
      </c>
      <c r="K194" s="6">
        <v>6507111100275</v>
      </c>
      <c r="L194" s="5">
        <v>38200</v>
      </c>
      <c r="M194" s="5">
        <v>45474</v>
      </c>
      <c r="N194" s="5">
        <v>45838</v>
      </c>
      <c r="O194" s="4">
        <v>904.72</v>
      </c>
      <c r="P194" s="4">
        <v>1</v>
      </c>
      <c r="Q194" s="4" t="s">
        <v>33</v>
      </c>
      <c r="R194" s="4" t="s">
        <v>34</v>
      </c>
      <c r="S194" s="4">
        <v>282064</v>
      </c>
      <c r="T194" s="4">
        <v>62478724670</v>
      </c>
      <c r="U194" s="4">
        <v>0</v>
      </c>
      <c r="V194" s="4">
        <v>0</v>
      </c>
      <c r="W194" s="4">
        <v>0</v>
      </c>
      <c r="X194" s="4">
        <v>0</v>
      </c>
      <c r="Y194" s="4">
        <v>904.72</v>
      </c>
      <c r="Z194" s="4">
        <v>904.72</v>
      </c>
      <c r="AA194" s="4" t="s">
        <v>35</v>
      </c>
    </row>
    <row r="195" spans="1:27" s="4" customFormat="1" x14ac:dyDescent="0.3">
      <c r="A195" s="4" t="s">
        <v>333</v>
      </c>
      <c r="B195" s="4">
        <v>301378</v>
      </c>
      <c r="C195" s="4" t="s">
        <v>379</v>
      </c>
      <c r="D195" s="4" t="s">
        <v>380</v>
      </c>
      <c r="E195" s="4" t="s">
        <v>64</v>
      </c>
      <c r="F195" s="4" t="s">
        <v>352</v>
      </c>
      <c r="G195" s="5">
        <v>28187</v>
      </c>
      <c r="H195" s="4">
        <f>DAY(G195)</f>
        <v>3</v>
      </c>
      <c r="I195" s="4">
        <f>MONTH(G195)</f>
        <v>3</v>
      </c>
      <c r="J195" s="4">
        <f>YEAR(G195)</f>
        <v>1977</v>
      </c>
      <c r="K195" s="6">
        <v>7703131100069</v>
      </c>
      <c r="L195" s="5">
        <v>38169</v>
      </c>
      <c r="M195" s="5">
        <v>45474</v>
      </c>
      <c r="N195" s="5">
        <v>45838</v>
      </c>
      <c r="O195" s="4">
        <v>1038.94</v>
      </c>
      <c r="P195" s="4">
        <v>1</v>
      </c>
      <c r="Q195" s="4" t="s">
        <v>33</v>
      </c>
      <c r="R195" s="4" t="s">
        <v>34</v>
      </c>
      <c r="S195" s="4">
        <v>770002</v>
      </c>
      <c r="T195" s="4">
        <v>77400530068</v>
      </c>
      <c r="U195" s="4">
        <v>0</v>
      </c>
      <c r="V195" s="4">
        <v>0</v>
      </c>
      <c r="W195" s="4">
        <v>0</v>
      </c>
      <c r="X195" s="4">
        <v>0</v>
      </c>
      <c r="Y195" s="4">
        <v>1038.94</v>
      </c>
      <c r="Z195" s="4">
        <v>1038.94</v>
      </c>
      <c r="AA195" s="4" t="s">
        <v>35</v>
      </c>
    </row>
    <row r="196" spans="1:27" s="4" customFormat="1" x14ac:dyDescent="0.3">
      <c r="A196" s="4" t="s">
        <v>333</v>
      </c>
      <c r="B196" s="4">
        <v>301497</v>
      </c>
      <c r="C196" s="4" t="s">
        <v>381</v>
      </c>
      <c r="D196" s="4" t="s">
        <v>96</v>
      </c>
      <c r="E196" s="4" t="s">
        <v>131</v>
      </c>
      <c r="F196" s="4" t="s">
        <v>173</v>
      </c>
      <c r="G196" s="5">
        <v>25272</v>
      </c>
      <c r="H196" s="4">
        <f>DAY(G196)</f>
        <v>10</v>
      </c>
      <c r="I196" s="4">
        <f>MONTH(G196)</f>
        <v>3</v>
      </c>
      <c r="J196" s="4">
        <f>YEAR(G196)</f>
        <v>1969</v>
      </c>
      <c r="K196" s="6">
        <v>6903101100203</v>
      </c>
      <c r="L196" s="5">
        <v>38200</v>
      </c>
      <c r="M196" s="5">
        <v>45474</v>
      </c>
      <c r="N196" s="5">
        <v>45838</v>
      </c>
      <c r="O196" s="4">
        <v>811.04</v>
      </c>
      <c r="P196" s="4">
        <v>1</v>
      </c>
      <c r="Q196" s="4" t="s">
        <v>33</v>
      </c>
      <c r="R196" s="4" t="s">
        <v>34</v>
      </c>
      <c r="S196" s="4">
        <v>770002</v>
      </c>
      <c r="T196" s="4">
        <v>2040117768001</v>
      </c>
      <c r="U196" s="4">
        <v>0</v>
      </c>
      <c r="V196" s="4">
        <v>0</v>
      </c>
      <c r="W196" s="4">
        <v>0</v>
      </c>
      <c r="X196" s="4">
        <v>0</v>
      </c>
      <c r="Y196" s="4">
        <v>811.04</v>
      </c>
      <c r="Z196" s="4">
        <v>811.04</v>
      </c>
      <c r="AA196" s="4" t="s">
        <v>35</v>
      </c>
    </row>
    <row r="197" spans="1:27" s="4" customFormat="1" x14ac:dyDescent="0.3">
      <c r="A197" s="4" t="s">
        <v>333</v>
      </c>
      <c r="B197" s="4">
        <v>301768</v>
      </c>
      <c r="C197" s="4" t="s">
        <v>382</v>
      </c>
      <c r="D197" s="4" t="s">
        <v>380</v>
      </c>
      <c r="E197" s="4" t="s">
        <v>55</v>
      </c>
      <c r="F197" s="4" t="s">
        <v>383</v>
      </c>
      <c r="G197" s="5">
        <v>28926</v>
      </c>
      <c r="H197" s="4">
        <f>DAY(G197)</f>
        <v>12</v>
      </c>
      <c r="I197" s="4">
        <f>MONTH(G197)</f>
        <v>3</v>
      </c>
      <c r="J197" s="4">
        <f>YEAR(G197)</f>
        <v>1979</v>
      </c>
      <c r="K197" s="6">
        <v>7903121100380</v>
      </c>
      <c r="L197" s="5">
        <v>38169</v>
      </c>
      <c r="M197" s="5">
        <v>45474</v>
      </c>
      <c r="N197" s="5">
        <v>45838</v>
      </c>
      <c r="O197" s="4">
        <v>811.04</v>
      </c>
      <c r="P197" s="4">
        <v>1</v>
      </c>
      <c r="Q197" s="4" t="s">
        <v>33</v>
      </c>
      <c r="R197" s="4" t="s">
        <v>34</v>
      </c>
      <c r="S197" s="4">
        <v>90001</v>
      </c>
      <c r="T197" s="4">
        <v>51000386492</v>
      </c>
      <c r="U197" s="4">
        <v>0</v>
      </c>
      <c r="V197" s="4">
        <v>0</v>
      </c>
      <c r="W197" s="4">
        <v>0</v>
      </c>
      <c r="X197" s="4">
        <v>0</v>
      </c>
      <c r="Y197" s="4">
        <v>811.04</v>
      </c>
      <c r="Z197" s="4">
        <v>811.04</v>
      </c>
      <c r="AA197" s="4" t="s">
        <v>35</v>
      </c>
    </row>
    <row r="198" spans="1:27" s="4" customFormat="1" x14ac:dyDescent="0.3">
      <c r="A198" s="4" t="s">
        <v>333</v>
      </c>
      <c r="B198" s="4">
        <v>301928</v>
      </c>
      <c r="C198" s="4" t="s">
        <v>384</v>
      </c>
      <c r="D198" s="4" t="s">
        <v>214</v>
      </c>
      <c r="E198" s="4" t="s">
        <v>55</v>
      </c>
      <c r="F198" s="4" t="s">
        <v>385</v>
      </c>
      <c r="G198" s="5">
        <v>28930</v>
      </c>
      <c r="H198" s="4">
        <f>DAY(G198)</f>
        <v>16</v>
      </c>
      <c r="I198" s="4">
        <f>MONTH(G198)</f>
        <v>3</v>
      </c>
      <c r="J198" s="4">
        <f>YEAR(G198)</f>
        <v>1979</v>
      </c>
      <c r="K198" s="6">
        <v>7903161100233</v>
      </c>
      <c r="L198" s="5">
        <v>38200</v>
      </c>
      <c r="M198" s="5">
        <v>45444</v>
      </c>
      <c r="N198" s="5">
        <v>45838</v>
      </c>
      <c r="O198" s="4">
        <v>864.01</v>
      </c>
      <c r="P198" s="4">
        <v>1</v>
      </c>
      <c r="Q198" s="4" t="s">
        <v>33</v>
      </c>
      <c r="R198" s="4" t="s">
        <v>34</v>
      </c>
      <c r="S198" s="4">
        <v>90001</v>
      </c>
      <c r="T198" s="4">
        <v>51001338025</v>
      </c>
      <c r="U198" s="4">
        <v>0</v>
      </c>
      <c r="V198" s="4">
        <v>0</v>
      </c>
      <c r="W198" s="4">
        <v>0</v>
      </c>
      <c r="X198" s="4">
        <v>0</v>
      </c>
      <c r="Y198" s="4">
        <v>864.01</v>
      </c>
      <c r="Z198" s="4">
        <v>864.01</v>
      </c>
      <c r="AA198" s="4" t="s">
        <v>35</v>
      </c>
    </row>
    <row r="199" spans="1:27" s="4" customFormat="1" x14ac:dyDescent="0.3">
      <c r="A199" s="4" t="s">
        <v>333</v>
      </c>
      <c r="B199" s="4">
        <v>301942</v>
      </c>
      <c r="C199" s="4" t="s">
        <v>386</v>
      </c>
      <c r="D199" s="4" t="s">
        <v>282</v>
      </c>
      <c r="E199" s="4" t="s">
        <v>87</v>
      </c>
      <c r="F199" s="4" t="s">
        <v>387</v>
      </c>
      <c r="G199" s="5">
        <v>23085</v>
      </c>
      <c r="H199" s="4">
        <f>DAY(G199)</f>
        <v>15</v>
      </c>
      <c r="I199" s="4">
        <f>MONTH(G199)</f>
        <v>3</v>
      </c>
      <c r="J199" s="4">
        <f>YEAR(G199)</f>
        <v>1963</v>
      </c>
      <c r="K199" s="6">
        <v>6303151100130</v>
      </c>
      <c r="L199" s="5">
        <v>38200</v>
      </c>
      <c r="M199" s="5">
        <v>45444</v>
      </c>
      <c r="N199" s="5">
        <v>45838</v>
      </c>
      <c r="O199" s="4">
        <v>1851.68</v>
      </c>
      <c r="P199" s="4">
        <v>1</v>
      </c>
      <c r="Q199" s="4" t="s">
        <v>33</v>
      </c>
      <c r="R199" s="4" t="s">
        <v>34</v>
      </c>
      <c r="S199" s="4">
        <v>360264</v>
      </c>
      <c r="T199" s="7" t="s">
        <v>388</v>
      </c>
      <c r="U199" s="4">
        <v>0</v>
      </c>
      <c r="V199" s="4">
        <v>0</v>
      </c>
      <c r="W199" s="4">
        <v>0</v>
      </c>
      <c r="X199" s="4">
        <v>0</v>
      </c>
      <c r="Y199" s="4">
        <v>1851.68</v>
      </c>
      <c r="Z199" s="4">
        <v>1851.68</v>
      </c>
      <c r="AA199" s="4" t="s">
        <v>35</v>
      </c>
    </row>
    <row r="200" spans="1:27" s="4" customFormat="1" x14ac:dyDescent="0.3">
      <c r="A200" s="4" t="s">
        <v>333</v>
      </c>
      <c r="B200" s="4">
        <v>3027073</v>
      </c>
      <c r="C200" s="4" t="s">
        <v>389</v>
      </c>
      <c r="D200" s="4" t="s">
        <v>390</v>
      </c>
      <c r="E200" s="4" t="s">
        <v>391</v>
      </c>
      <c r="F200" s="4" t="s">
        <v>392</v>
      </c>
      <c r="G200" s="5">
        <v>22343</v>
      </c>
      <c r="H200" s="4">
        <f>DAY(G200)</f>
        <v>3</v>
      </c>
      <c r="I200" s="4">
        <f>MONTH(G200)</f>
        <v>3</v>
      </c>
      <c r="J200" s="4">
        <f>YEAR(G200)</f>
        <v>1961</v>
      </c>
      <c r="K200" s="6">
        <v>6103031100148</v>
      </c>
      <c r="L200" s="5">
        <v>41944</v>
      </c>
      <c r="M200" s="5">
        <v>45474</v>
      </c>
      <c r="N200" s="5">
        <v>45838</v>
      </c>
      <c r="O200" s="4">
        <v>914.54</v>
      </c>
      <c r="P200" s="4">
        <v>1</v>
      </c>
      <c r="Q200" s="4" t="s">
        <v>33</v>
      </c>
      <c r="R200" s="4" t="s">
        <v>34</v>
      </c>
      <c r="S200" s="4">
        <v>280164</v>
      </c>
      <c r="T200" s="4">
        <v>62484749430</v>
      </c>
      <c r="U200" s="4">
        <v>0</v>
      </c>
      <c r="V200" s="4">
        <v>0</v>
      </c>
      <c r="W200" s="4">
        <v>0</v>
      </c>
      <c r="X200" s="4">
        <v>0</v>
      </c>
      <c r="Y200" s="4">
        <v>914.54</v>
      </c>
      <c r="Z200" s="4">
        <v>914.54</v>
      </c>
      <c r="AA200" s="4" t="s">
        <v>35</v>
      </c>
    </row>
    <row r="201" spans="1:27" s="4" customFormat="1" x14ac:dyDescent="0.3">
      <c r="A201" s="4" t="s">
        <v>333</v>
      </c>
      <c r="B201" s="4">
        <v>30553</v>
      </c>
      <c r="C201" s="4" t="s">
        <v>393</v>
      </c>
      <c r="D201" s="4" t="s">
        <v>394</v>
      </c>
      <c r="E201" s="4" t="s">
        <v>128</v>
      </c>
      <c r="F201" s="4" t="s">
        <v>395</v>
      </c>
      <c r="G201" s="5">
        <v>21629</v>
      </c>
      <c r="H201" s="4">
        <f>DAY(G201)</f>
        <v>20</v>
      </c>
      <c r="I201" s="4">
        <f>MONTH(G201)</f>
        <v>3</v>
      </c>
      <c r="J201" s="4">
        <f>YEAR(G201)</f>
        <v>1959</v>
      </c>
      <c r="K201" s="6">
        <v>5903201100062</v>
      </c>
      <c r="L201" s="5">
        <v>38200</v>
      </c>
      <c r="M201" s="5">
        <v>45474</v>
      </c>
      <c r="N201" s="5">
        <v>45838</v>
      </c>
      <c r="O201" s="4">
        <v>975.6</v>
      </c>
      <c r="P201" s="4">
        <v>1</v>
      </c>
      <c r="Q201" s="4" t="s">
        <v>33</v>
      </c>
      <c r="R201" s="4" t="s">
        <v>34</v>
      </c>
      <c r="S201" s="4">
        <v>770002</v>
      </c>
      <c r="T201" s="4">
        <v>2040112200301</v>
      </c>
      <c r="U201" s="4">
        <v>0</v>
      </c>
      <c r="V201" s="4">
        <v>0</v>
      </c>
      <c r="W201" s="4">
        <v>0</v>
      </c>
      <c r="X201" s="4">
        <v>0</v>
      </c>
      <c r="Y201" s="4">
        <v>975.6</v>
      </c>
      <c r="Z201" s="4">
        <v>975.6</v>
      </c>
      <c r="AA201" s="4" t="s">
        <v>35</v>
      </c>
    </row>
    <row r="202" spans="1:27" s="4" customFormat="1" x14ac:dyDescent="0.3">
      <c r="A202" s="4" t="s">
        <v>333</v>
      </c>
      <c r="B202" s="4">
        <v>3066889</v>
      </c>
      <c r="C202" s="4" t="s">
        <v>396</v>
      </c>
      <c r="D202" s="4" t="s">
        <v>66</v>
      </c>
      <c r="E202" s="4" t="s">
        <v>397</v>
      </c>
      <c r="F202" s="4" t="s">
        <v>398</v>
      </c>
      <c r="G202" s="5">
        <v>21261</v>
      </c>
      <c r="H202" s="4">
        <f>DAY(G202)</f>
        <v>17</v>
      </c>
      <c r="I202" s="4">
        <f>MONTH(G202)</f>
        <v>3</v>
      </c>
      <c r="J202" s="4">
        <f>YEAR(G202)</f>
        <v>1958</v>
      </c>
      <c r="K202" s="6">
        <v>5803171100128</v>
      </c>
      <c r="L202" s="5">
        <v>40940</v>
      </c>
      <c r="M202" s="5">
        <v>45474</v>
      </c>
      <c r="N202" s="5">
        <v>45838</v>
      </c>
      <c r="O202" s="4">
        <v>960.32</v>
      </c>
      <c r="P202" s="4">
        <v>1</v>
      </c>
      <c r="Q202" s="4" t="s">
        <v>33</v>
      </c>
      <c r="R202" s="4" t="s">
        <v>34</v>
      </c>
      <c r="S202" s="4">
        <v>90001</v>
      </c>
      <c r="T202" s="4">
        <v>51001660784</v>
      </c>
      <c r="U202" s="4">
        <v>0</v>
      </c>
      <c r="V202" s="4">
        <v>0</v>
      </c>
      <c r="W202" s="4">
        <v>0</v>
      </c>
      <c r="X202" s="4">
        <v>0</v>
      </c>
      <c r="Y202" s="4">
        <v>960.32</v>
      </c>
      <c r="Z202" s="4">
        <v>960.32</v>
      </c>
      <c r="AA202" s="4" t="s">
        <v>35</v>
      </c>
    </row>
    <row r="203" spans="1:27" s="4" customFormat="1" x14ac:dyDescent="0.3">
      <c r="A203" s="4" t="s">
        <v>333</v>
      </c>
      <c r="B203" s="4">
        <v>3070260</v>
      </c>
      <c r="C203" s="4" t="s">
        <v>399</v>
      </c>
      <c r="D203" s="4" t="s">
        <v>163</v>
      </c>
      <c r="E203" s="4" t="s">
        <v>400</v>
      </c>
      <c r="F203" s="4" t="s">
        <v>348</v>
      </c>
      <c r="G203" s="5">
        <v>22006</v>
      </c>
      <c r="H203" s="4">
        <f>DAY(G203)</f>
        <v>31</v>
      </c>
      <c r="I203" s="4">
        <f>MONTH(G203)</f>
        <v>3</v>
      </c>
      <c r="J203" s="4">
        <f>YEAR(G203)</f>
        <v>1960</v>
      </c>
      <c r="K203" s="6">
        <v>6003311100067</v>
      </c>
      <c r="L203" s="5">
        <v>44713</v>
      </c>
      <c r="M203" s="5">
        <v>45474</v>
      </c>
      <c r="N203" s="5">
        <v>45838</v>
      </c>
      <c r="O203" s="4">
        <v>1428.84</v>
      </c>
      <c r="P203" s="4">
        <v>1</v>
      </c>
      <c r="Q203" s="4" t="s">
        <v>33</v>
      </c>
      <c r="R203" s="4" t="s">
        <v>34</v>
      </c>
      <c r="S203" s="4">
        <v>660564</v>
      </c>
      <c r="T203" s="4">
        <v>9110003660470</v>
      </c>
      <c r="U203" s="4">
        <v>0</v>
      </c>
      <c r="V203" s="4">
        <v>0</v>
      </c>
      <c r="W203" s="4">
        <v>0</v>
      </c>
      <c r="X203" s="4">
        <v>0</v>
      </c>
      <c r="Y203" s="4">
        <v>1428.84</v>
      </c>
      <c r="Z203" s="4">
        <v>1428.84</v>
      </c>
      <c r="AA203" s="4" t="s">
        <v>35</v>
      </c>
    </row>
    <row r="204" spans="1:27" s="4" customFormat="1" x14ac:dyDescent="0.3">
      <c r="A204" s="4" t="s">
        <v>333</v>
      </c>
      <c r="B204" s="4">
        <v>3116719</v>
      </c>
      <c r="C204" s="4" t="s">
        <v>401</v>
      </c>
      <c r="D204" s="4" t="s">
        <v>66</v>
      </c>
      <c r="E204" s="4" t="s">
        <v>402</v>
      </c>
      <c r="F204" s="4" t="s">
        <v>403</v>
      </c>
      <c r="G204" s="5">
        <v>21618</v>
      </c>
      <c r="H204" s="4">
        <f>DAY(G204)</f>
        <v>9</v>
      </c>
      <c r="I204" s="4">
        <f>MONTH(G204)</f>
        <v>3</v>
      </c>
      <c r="J204" s="4">
        <f>YEAR(G204)</f>
        <v>1959</v>
      </c>
      <c r="K204" s="6">
        <v>5903091100040</v>
      </c>
      <c r="L204" s="5">
        <v>41791</v>
      </c>
      <c r="M204" s="5">
        <v>45474</v>
      </c>
      <c r="N204" s="5">
        <v>45838</v>
      </c>
      <c r="O204" s="4">
        <v>8174.38</v>
      </c>
      <c r="P204" s="4">
        <v>1</v>
      </c>
      <c r="Q204" s="4" t="s">
        <v>33</v>
      </c>
      <c r="R204" s="4" t="s">
        <v>34</v>
      </c>
      <c r="S204" s="4">
        <v>281064</v>
      </c>
      <c r="T204" s="4">
        <v>62473929035</v>
      </c>
      <c r="U204" s="4">
        <v>0</v>
      </c>
      <c r="V204" s="4">
        <v>0</v>
      </c>
      <c r="W204" s="4">
        <v>0</v>
      </c>
      <c r="X204" s="4">
        <v>726.54</v>
      </c>
      <c r="Y204" s="4">
        <v>8174.38</v>
      </c>
      <c r="Z204" s="4">
        <v>7447.84</v>
      </c>
      <c r="AA204" s="4" t="s">
        <v>35</v>
      </c>
    </row>
    <row r="205" spans="1:27" s="4" customFormat="1" x14ac:dyDescent="0.3">
      <c r="A205" s="4" t="s">
        <v>333</v>
      </c>
      <c r="B205" s="4">
        <v>3129773</v>
      </c>
      <c r="C205" s="4" t="s">
        <v>404</v>
      </c>
      <c r="D205" s="4" t="s">
        <v>189</v>
      </c>
      <c r="E205" s="4" t="s">
        <v>405</v>
      </c>
      <c r="F205" s="4" t="s">
        <v>406</v>
      </c>
      <c r="G205" s="5">
        <v>15785</v>
      </c>
      <c r="H205" s="4">
        <f>DAY(G205)</f>
        <v>20</v>
      </c>
      <c r="I205" s="4">
        <f>MONTH(G205)</f>
        <v>3</v>
      </c>
      <c r="J205" s="4">
        <f>YEAR(G205)</f>
        <v>1943</v>
      </c>
      <c r="K205" s="6">
        <v>4303206100012</v>
      </c>
      <c r="L205" s="5">
        <v>40878</v>
      </c>
      <c r="M205" s="5">
        <v>45474</v>
      </c>
      <c r="N205" s="5">
        <v>45838</v>
      </c>
      <c r="O205" s="4">
        <v>6956.83</v>
      </c>
      <c r="P205" s="4">
        <v>1</v>
      </c>
      <c r="Q205" s="4" t="s">
        <v>33</v>
      </c>
      <c r="R205" s="4" t="s">
        <v>34</v>
      </c>
      <c r="S205" s="4">
        <v>770001</v>
      </c>
      <c r="T205" s="4">
        <v>1040117896501</v>
      </c>
      <c r="U205" s="4">
        <v>0</v>
      </c>
      <c r="V205" s="4">
        <v>0</v>
      </c>
      <c r="W205" s="4">
        <v>0</v>
      </c>
      <c r="X205" s="4">
        <v>483.03</v>
      </c>
      <c r="Y205" s="4">
        <v>6956.83</v>
      </c>
      <c r="Z205" s="4">
        <v>6473.8</v>
      </c>
      <c r="AA205" s="4" t="s">
        <v>35</v>
      </c>
    </row>
    <row r="206" spans="1:27" s="4" customFormat="1" x14ac:dyDescent="0.3">
      <c r="A206" s="4" t="s">
        <v>333</v>
      </c>
      <c r="B206" s="4">
        <v>32837</v>
      </c>
      <c r="C206" s="4" t="s">
        <v>407</v>
      </c>
      <c r="D206" s="4" t="s">
        <v>408</v>
      </c>
      <c r="E206" s="4" t="s">
        <v>79</v>
      </c>
      <c r="F206" s="4" t="s">
        <v>409</v>
      </c>
      <c r="G206" s="5">
        <v>16871</v>
      </c>
      <c r="H206" s="4">
        <f>DAY(G206)</f>
        <v>10</v>
      </c>
      <c r="I206" s="4">
        <f>MONTH(G206)</f>
        <v>3</v>
      </c>
      <c r="J206" s="4">
        <f>YEAR(G206)</f>
        <v>1946</v>
      </c>
      <c r="K206" s="6">
        <v>4603101100110</v>
      </c>
      <c r="L206" s="5">
        <v>41214</v>
      </c>
      <c r="M206" s="5">
        <v>45474</v>
      </c>
      <c r="N206" s="5">
        <v>45838</v>
      </c>
      <c r="O206" s="4">
        <v>4919.74</v>
      </c>
      <c r="P206" s="4">
        <v>1</v>
      </c>
      <c r="Q206" s="4" t="s">
        <v>33</v>
      </c>
      <c r="R206" s="4" t="s">
        <v>34</v>
      </c>
      <c r="S206" s="4">
        <v>770008</v>
      </c>
      <c r="T206" s="4">
        <v>4240120470901</v>
      </c>
      <c r="U206" s="4">
        <v>0</v>
      </c>
      <c r="V206" s="4">
        <v>0</v>
      </c>
      <c r="W206" s="4">
        <v>0</v>
      </c>
      <c r="X206" s="4">
        <v>75.61</v>
      </c>
      <c r="Y206" s="4">
        <v>4919.74</v>
      </c>
      <c r="Z206" s="4">
        <v>4844.13</v>
      </c>
      <c r="AA206" s="4" t="s">
        <v>35</v>
      </c>
    </row>
    <row r="207" spans="1:27" s="4" customFormat="1" x14ac:dyDescent="0.3">
      <c r="A207" s="4" t="s">
        <v>333</v>
      </c>
      <c r="B207" s="4">
        <v>3387085</v>
      </c>
      <c r="C207" s="4" t="s">
        <v>410</v>
      </c>
      <c r="D207" s="4" t="s">
        <v>411</v>
      </c>
      <c r="E207" s="4" t="s">
        <v>280</v>
      </c>
      <c r="F207" s="4" t="s">
        <v>184</v>
      </c>
      <c r="G207" s="5">
        <v>19072</v>
      </c>
      <c r="H207" s="4">
        <f>DAY(G207)</f>
        <v>19</v>
      </c>
      <c r="I207" s="4">
        <f>MONTH(G207)</f>
        <v>3</v>
      </c>
      <c r="J207" s="4">
        <f>YEAR(G207)</f>
        <v>1952</v>
      </c>
      <c r="K207" s="6">
        <v>5203196200039</v>
      </c>
      <c r="L207" s="5">
        <v>42887</v>
      </c>
      <c r="M207" s="5">
        <v>45474</v>
      </c>
      <c r="N207" s="5">
        <v>45838</v>
      </c>
      <c r="O207" s="4">
        <v>8030.45</v>
      </c>
      <c r="P207" s="4">
        <v>1</v>
      </c>
      <c r="Q207" s="4" t="s">
        <v>33</v>
      </c>
      <c r="R207" s="4" t="s">
        <v>34</v>
      </c>
      <c r="S207" s="4">
        <v>281764</v>
      </c>
      <c r="T207" s="4">
        <v>62150467944</v>
      </c>
      <c r="U207" s="4">
        <v>0</v>
      </c>
      <c r="V207" s="4">
        <v>0</v>
      </c>
      <c r="W207" s="4">
        <v>0</v>
      </c>
      <c r="X207" s="4">
        <v>697.75</v>
      </c>
      <c r="Y207" s="4">
        <v>8030.45</v>
      </c>
      <c r="Z207" s="4">
        <v>7332.7</v>
      </c>
      <c r="AA207" s="4" t="s">
        <v>35</v>
      </c>
    </row>
    <row r="208" spans="1:27" s="4" customFormat="1" x14ac:dyDescent="0.3">
      <c r="A208" s="4" t="s">
        <v>333</v>
      </c>
      <c r="B208" s="4">
        <v>3499980</v>
      </c>
      <c r="C208" s="4" t="s">
        <v>412</v>
      </c>
      <c r="D208" s="4" t="s">
        <v>268</v>
      </c>
      <c r="E208" s="4" t="s">
        <v>170</v>
      </c>
      <c r="F208" s="4" t="s">
        <v>398</v>
      </c>
      <c r="G208" s="5">
        <v>26020</v>
      </c>
      <c r="H208" s="4">
        <f>DAY(G208)</f>
        <v>28</v>
      </c>
      <c r="I208" s="4">
        <f>MONTH(G208)</f>
        <v>3</v>
      </c>
      <c r="J208" s="4">
        <f>YEAR(G208)</f>
        <v>1971</v>
      </c>
      <c r="K208" s="6">
        <v>7103281100037</v>
      </c>
      <c r="L208" s="5">
        <v>39203</v>
      </c>
      <c r="M208" s="5">
        <v>45474</v>
      </c>
      <c r="N208" s="5">
        <v>45838</v>
      </c>
      <c r="O208" s="4">
        <v>941.4</v>
      </c>
      <c r="P208" s="4">
        <v>1</v>
      </c>
      <c r="Q208" s="4" t="s">
        <v>33</v>
      </c>
      <c r="R208" s="4" t="s">
        <v>34</v>
      </c>
      <c r="S208" s="4">
        <v>282064</v>
      </c>
      <c r="T208" s="4">
        <v>62327179067</v>
      </c>
      <c r="U208" s="4">
        <v>0</v>
      </c>
      <c r="V208" s="4">
        <v>0</v>
      </c>
      <c r="W208" s="4">
        <v>0</v>
      </c>
      <c r="X208" s="4">
        <v>0</v>
      </c>
      <c r="Y208" s="4">
        <v>941.4</v>
      </c>
      <c r="Z208" s="4">
        <v>941.4</v>
      </c>
      <c r="AA208" s="4" t="s">
        <v>35</v>
      </c>
    </row>
    <row r="209" spans="1:27" s="4" customFormat="1" x14ac:dyDescent="0.3">
      <c r="A209" s="4" t="s">
        <v>333</v>
      </c>
      <c r="B209" s="4">
        <v>3510735</v>
      </c>
      <c r="C209" s="4" t="s">
        <v>413</v>
      </c>
      <c r="D209" s="4" t="s">
        <v>414</v>
      </c>
      <c r="E209" s="4" t="s">
        <v>415</v>
      </c>
      <c r="F209" s="4" t="s">
        <v>178</v>
      </c>
      <c r="G209" s="5">
        <v>30025</v>
      </c>
      <c r="H209" s="4">
        <f>DAY(G209)</f>
        <v>15</v>
      </c>
      <c r="I209" s="4">
        <f>MONTH(G209)</f>
        <v>3</v>
      </c>
      <c r="J209" s="4">
        <f>YEAR(G209)</f>
        <v>1982</v>
      </c>
      <c r="K209" s="6">
        <v>8203151100791</v>
      </c>
      <c r="L209" s="5">
        <v>40299</v>
      </c>
      <c r="M209" s="5">
        <v>45474</v>
      </c>
      <c r="N209" s="5">
        <v>45838</v>
      </c>
      <c r="O209" s="4">
        <v>938.25</v>
      </c>
      <c r="P209" s="4">
        <v>1</v>
      </c>
      <c r="Q209" s="4" t="s">
        <v>33</v>
      </c>
      <c r="R209" s="4" t="s">
        <v>34</v>
      </c>
      <c r="S209" s="4">
        <v>663164</v>
      </c>
      <c r="T209" s="4">
        <v>9110000938052</v>
      </c>
      <c r="U209" s="4">
        <v>0</v>
      </c>
      <c r="V209" s="4">
        <v>0</v>
      </c>
      <c r="W209" s="4">
        <v>0</v>
      </c>
      <c r="X209" s="4">
        <v>0</v>
      </c>
      <c r="Y209" s="4">
        <v>938.25</v>
      </c>
      <c r="Z209" s="4">
        <v>938.25</v>
      </c>
      <c r="AA209" s="4" t="s">
        <v>35</v>
      </c>
    </row>
    <row r="210" spans="1:27" s="4" customFormat="1" x14ac:dyDescent="0.3">
      <c r="A210" s="4" t="s">
        <v>333</v>
      </c>
      <c r="B210" s="4">
        <v>35823</v>
      </c>
      <c r="C210" s="4" t="s">
        <v>416</v>
      </c>
      <c r="D210" s="4" t="s">
        <v>118</v>
      </c>
      <c r="E210" s="4" t="s">
        <v>40</v>
      </c>
      <c r="F210" s="4" t="s">
        <v>121</v>
      </c>
      <c r="G210" s="5">
        <v>18701</v>
      </c>
      <c r="H210" s="4">
        <f>DAY(G210)</f>
        <v>14</v>
      </c>
      <c r="I210" s="4">
        <f>MONTH(G210)</f>
        <v>3</v>
      </c>
      <c r="J210" s="4">
        <f>YEAR(G210)</f>
        <v>1951</v>
      </c>
      <c r="K210" s="6">
        <v>5103141100013</v>
      </c>
      <c r="L210" s="5">
        <v>45717</v>
      </c>
      <c r="M210" s="5">
        <v>45717</v>
      </c>
      <c r="N210" s="5">
        <v>45838</v>
      </c>
      <c r="O210" s="4">
        <v>1115</v>
      </c>
      <c r="P210" s="4">
        <v>1</v>
      </c>
      <c r="Q210" s="4" t="s">
        <v>33</v>
      </c>
      <c r="R210" s="4" t="s">
        <v>34</v>
      </c>
      <c r="S210" s="4">
        <v>660564</v>
      </c>
      <c r="T210" s="4">
        <v>9110000220739</v>
      </c>
      <c r="U210" s="4">
        <v>0</v>
      </c>
      <c r="V210" s="4">
        <v>0</v>
      </c>
      <c r="W210" s="4">
        <v>0</v>
      </c>
      <c r="X210" s="4">
        <v>0</v>
      </c>
      <c r="Y210" s="4">
        <v>1115</v>
      </c>
      <c r="Z210" s="4">
        <v>1115</v>
      </c>
      <c r="AA210" s="4" t="s">
        <v>35</v>
      </c>
    </row>
    <row r="211" spans="1:27" s="4" customFormat="1" x14ac:dyDescent="0.3">
      <c r="A211" s="4" t="s">
        <v>333</v>
      </c>
      <c r="B211" s="4">
        <v>36589</v>
      </c>
      <c r="C211" s="4" t="s">
        <v>417</v>
      </c>
      <c r="D211" s="4" t="s">
        <v>30</v>
      </c>
      <c r="E211" s="4" t="s">
        <v>318</v>
      </c>
      <c r="F211" s="4" t="s">
        <v>112</v>
      </c>
      <c r="G211" s="5">
        <v>21989</v>
      </c>
      <c r="H211" s="4">
        <f>DAY(G211)</f>
        <v>14</v>
      </c>
      <c r="I211" s="4">
        <f>MONTH(G211)</f>
        <v>3</v>
      </c>
      <c r="J211" s="4">
        <f>YEAR(G211)</f>
        <v>1960</v>
      </c>
      <c r="K211" s="6">
        <v>6003141100261</v>
      </c>
      <c r="L211" s="5">
        <v>39661</v>
      </c>
      <c r="M211" s="5">
        <v>45474</v>
      </c>
      <c r="N211" s="5">
        <v>45838</v>
      </c>
      <c r="O211" s="4">
        <v>9411.24</v>
      </c>
      <c r="P211" s="4">
        <v>1</v>
      </c>
      <c r="Q211" s="4" t="s">
        <v>33</v>
      </c>
      <c r="R211" s="4" t="s">
        <v>34</v>
      </c>
      <c r="S211" s="4">
        <v>282064</v>
      </c>
      <c r="T211" s="4">
        <v>57781116276</v>
      </c>
      <c r="U211" s="4">
        <v>0</v>
      </c>
      <c r="V211" s="4">
        <v>0</v>
      </c>
      <c r="W211" s="4">
        <v>0</v>
      </c>
      <c r="X211" s="4">
        <v>1027.81</v>
      </c>
      <c r="Y211" s="4">
        <v>9411.24</v>
      </c>
      <c r="Z211" s="4">
        <v>8383.43</v>
      </c>
      <c r="AA211" s="4" t="s">
        <v>35</v>
      </c>
    </row>
    <row r="212" spans="1:27" s="4" customFormat="1" x14ac:dyDescent="0.3">
      <c r="A212" s="4" t="s">
        <v>333</v>
      </c>
      <c r="B212" s="4">
        <v>4183334</v>
      </c>
      <c r="C212" s="4" t="s">
        <v>418</v>
      </c>
      <c r="D212" s="4" t="s">
        <v>419</v>
      </c>
      <c r="E212" s="4" t="s">
        <v>420</v>
      </c>
      <c r="F212" s="4" t="s">
        <v>421</v>
      </c>
      <c r="G212" s="5">
        <v>24178</v>
      </c>
      <c r="H212" s="4">
        <f>DAY(G212)</f>
        <v>12</v>
      </c>
      <c r="I212" s="4">
        <f>MONTH(G212)</f>
        <v>3</v>
      </c>
      <c r="J212" s="4">
        <f>YEAR(G212)</f>
        <v>1966</v>
      </c>
      <c r="K212" s="6">
        <v>6603121100122</v>
      </c>
      <c r="L212" s="5">
        <v>42309</v>
      </c>
      <c r="M212" s="5">
        <v>45474</v>
      </c>
      <c r="N212" s="5">
        <v>45838</v>
      </c>
      <c r="O212" s="4">
        <v>8486.49</v>
      </c>
      <c r="P212" s="4">
        <v>1</v>
      </c>
      <c r="Q212" s="4" t="s">
        <v>33</v>
      </c>
      <c r="R212" s="4" t="s">
        <v>34</v>
      </c>
      <c r="S212" s="4">
        <v>90001</v>
      </c>
      <c r="T212" s="4">
        <v>51000412221</v>
      </c>
      <c r="U212" s="4">
        <v>0</v>
      </c>
      <c r="V212" s="4">
        <v>0</v>
      </c>
      <c r="W212" s="4">
        <v>0</v>
      </c>
      <c r="X212" s="4">
        <v>796.62</v>
      </c>
      <c r="Y212" s="4">
        <v>8486.49</v>
      </c>
      <c r="Z212" s="4">
        <v>7689.87</v>
      </c>
      <c r="AA212" s="4" t="s">
        <v>35</v>
      </c>
    </row>
    <row r="213" spans="1:27" s="4" customFormat="1" x14ac:dyDescent="0.3">
      <c r="A213" s="4" t="s">
        <v>333</v>
      </c>
      <c r="B213" s="4">
        <v>4188669</v>
      </c>
      <c r="C213" s="4" t="s">
        <v>422</v>
      </c>
      <c r="D213" s="4" t="s">
        <v>66</v>
      </c>
      <c r="E213" s="4" t="s">
        <v>423</v>
      </c>
      <c r="F213" s="4" t="s">
        <v>424</v>
      </c>
      <c r="G213" s="5">
        <v>14682</v>
      </c>
      <c r="H213" s="4">
        <f>DAY(G213)</f>
        <v>12</v>
      </c>
      <c r="I213" s="4">
        <f>MONTH(G213)</f>
        <v>3</v>
      </c>
      <c r="J213" s="4">
        <f>YEAR(G213)</f>
        <v>1940</v>
      </c>
      <c r="K213" s="6">
        <v>4003126100023</v>
      </c>
      <c r="L213" s="5">
        <v>44409</v>
      </c>
      <c r="M213" s="5">
        <v>45474</v>
      </c>
      <c r="N213" s="5">
        <v>45838</v>
      </c>
      <c r="O213" s="4">
        <v>5052.4799999999996</v>
      </c>
      <c r="P213" s="4">
        <v>1</v>
      </c>
      <c r="Q213" s="4" t="s">
        <v>33</v>
      </c>
      <c r="R213" s="4" t="s">
        <v>34</v>
      </c>
      <c r="S213" s="4">
        <v>663164</v>
      </c>
      <c r="T213" s="4">
        <v>9110002785083</v>
      </c>
      <c r="U213" s="4">
        <v>0</v>
      </c>
      <c r="V213" s="4">
        <v>0</v>
      </c>
      <c r="W213" s="4">
        <v>0</v>
      </c>
      <c r="X213" s="4">
        <v>102.16</v>
      </c>
      <c r="Y213" s="4">
        <v>5052.4799999999996</v>
      </c>
      <c r="Z213" s="4">
        <v>4950.32</v>
      </c>
      <c r="AA213" s="4" t="s">
        <v>35</v>
      </c>
    </row>
    <row r="214" spans="1:27" s="4" customFormat="1" x14ac:dyDescent="0.3">
      <c r="A214" s="4" t="s">
        <v>333</v>
      </c>
      <c r="B214" s="4">
        <v>4248464</v>
      </c>
      <c r="C214" s="4" t="s">
        <v>425</v>
      </c>
      <c r="D214" s="4" t="s">
        <v>426</v>
      </c>
      <c r="E214" s="4" t="s">
        <v>221</v>
      </c>
      <c r="F214" s="4" t="s">
        <v>427</v>
      </c>
      <c r="G214" s="5">
        <v>26733</v>
      </c>
      <c r="H214" s="4">
        <f>DAY(G214)</f>
        <v>10</v>
      </c>
      <c r="I214" s="4">
        <f>MONTH(G214)</f>
        <v>3</v>
      </c>
      <c r="J214" s="4">
        <f>YEAR(G214)</f>
        <v>1973</v>
      </c>
      <c r="K214" s="6">
        <v>7303101100445</v>
      </c>
      <c r="L214" s="5">
        <v>39022</v>
      </c>
      <c r="M214" s="5">
        <v>45474</v>
      </c>
      <c r="N214" s="5">
        <v>45838</v>
      </c>
      <c r="O214" s="4">
        <v>3094.6</v>
      </c>
      <c r="P214" s="4">
        <v>1</v>
      </c>
      <c r="Q214" s="4" t="s">
        <v>33</v>
      </c>
      <c r="R214" s="4" t="s">
        <v>34</v>
      </c>
      <c r="S214" s="4">
        <v>770001</v>
      </c>
      <c r="T214" s="4">
        <v>1040119870601</v>
      </c>
      <c r="U214" s="4">
        <v>0</v>
      </c>
      <c r="V214" s="4">
        <v>0</v>
      </c>
      <c r="W214" s="4">
        <v>0</v>
      </c>
      <c r="X214" s="4">
        <v>0</v>
      </c>
      <c r="Y214" s="4">
        <v>3094.6</v>
      </c>
      <c r="Z214" s="4">
        <v>3094.6</v>
      </c>
      <c r="AA214" s="4" t="s">
        <v>35</v>
      </c>
    </row>
    <row r="215" spans="1:27" s="4" customFormat="1" x14ac:dyDescent="0.3">
      <c r="A215" s="4" t="s">
        <v>333</v>
      </c>
      <c r="B215" s="4">
        <v>4258054</v>
      </c>
      <c r="C215" s="4" t="s">
        <v>428</v>
      </c>
      <c r="D215" s="4" t="s">
        <v>116</v>
      </c>
      <c r="E215" s="4" t="s">
        <v>429</v>
      </c>
      <c r="F215" s="4" t="s">
        <v>430</v>
      </c>
      <c r="G215" s="5">
        <v>21977</v>
      </c>
      <c r="H215" s="4">
        <f>DAY(G215)</f>
        <v>2</v>
      </c>
      <c r="I215" s="4">
        <f>MONTH(G215)</f>
        <v>3</v>
      </c>
      <c r="J215" s="4">
        <f>YEAR(G215)</f>
        <v>1960</v>
      </c>
      <c r="K215" s="6">
        <v>6003021100241</v>
      </c>
      <c r="L215" s="5">
        <v>42036</v>
      </c>
      <c r="M215" s="5">
        <v>45474</v>
      </c>
      <c r="N215" s="5">
        <v>45838</v>
      </c>
      <c r="O215" s="4">
        <v>5295.92</v>
      </c>
      <c r="P215" s="4">
        <v>1</v>
      </c>
      <c r="Q215" s="4" t="s">
        <v>33</v>
      </c>
      <c r="R215" s="4" t="s">
        <v>34</v>
      </c>
      <c r="S215" s="4">
        <v>663464</v>
      </c>
      <c r="T215" s="4">
        <v>9110001102578</v>
      </c>
      <c r="U215" s="4">
        <v>0</v>
      </c>
      <c r="V215" s="4">
        <v>0</v>
      </c>
      <c r="W215" s="4">
        <v>0</v>
      </c>
      <c r="X215" s="4">
        <v>150.85</v>
      </c>
      <c r="Y215" s="4">
        <v>5295.92</v>
      </c>
      <c r="Z215" s="4">
        <v>5145.07</v>
      </c>
      <c r="AA215" s="4" t="s">
        <v>35</v>
      </c>
    </row>
    <row r="216" spans="1:27" s="4" customFormat="1" x14ac:dyDescent="0.3">
      <c r="A216" s="4" t="s">
        <v>333</v>
      </c>
      <c r="B216" s="4">
        <v>4561</v>
      </c>
      <c r="C216" s="4" t="s">
        <v>431</v>
      </c>
      <c r="D216" s="4" t="s">
        <v>432</v>
      </c>
      <c r="E216" s="4" t="s">
        <v>433</v>
      </c>
      <c r="F216" s="4" t="s">
        <v>434</v>
      </c>
      <c r="G216" s="5">
        <v>20171</v>
      </c>
      <c r="H216" s="4">
        <f>DAY(G216)</f>
        <v>23</v>
      </c>
      <c r="I216" s="4">
        <f>MONTH(G216)</f>
        <v>3</v>
      </c>
      <c r="J216" s="4">
        <f>YEAR(G216)</f>
        <v>1955</v>
      </c>
      <c r="K216" s="6">
        <v>5503231100023</v>
      </c>
      <c r="L216" s="5">
        <v>45047</v>
      </c>
      <c r="M216" s="5">
        <v>45474</v>
      </c>
      <c r="N216" s="5">
        <v>45838</v>
      </c>
      <c r="O216" s="4">
        <v>960.29</v>
      </c>
      <c r="P216" s="4">
        <v>1</v>
      </c>
      <c r="Q216" s="4" t="s">
        <v>33</v>
      </c>
      <c r="R216" s="4" t="s">
        <v>34</v>
      </c>
      <c r="S216" s="4">
        <v>90005</v>
      </c>
      <c r="T216" s="4">
        <v>51001336383</v>
      </c>
      <c r="U216" s="4">
        <v>0</v>
      </c>
      <c r="V216" s="4">
        <v>0</v>
      </c>
      <c r="W216" s="4">
        <v>0</v>
      </c>
      <c r="X216" s="4">
        <v>0</v>
      </c>
      <c r="Y216" s="4">
        <v>960.29</v>
      </c>
      <c r="Z216" s="4">
        <v>960.29</v>
      </c>
      <c r="AA216" s="4" t="s">
        <v>35</v>
      </c>
    </row>
    <row r="217" spans="1:27" s="4" customFormat="1" x14ac:dyDescent="0.3">
      <c r="A217" s="4" t="s">
        <v>333</v>
      </c>
      <c r="B217" s="4">
        <v>4757412</v>
      </c>
      <c r="C217" s="4" t="s">
        <v>435</v>
      </c>
      <c r="D217" s="4" t="s">
        <v>66</v>
      </c>
      <c r="E217" s="4" t="s">
        <v>436</v>
      </c>
      <c r="F217" s="4" t="s">
        <v>437</v>
      </c>
      <c r="G217" s="5">
        <v>26008</v>
      </c>
      <c r="H217" s="4">
        <f>DAY(G217)</f>
        <v>16</v>
      </c>
      <c r="I217" s="4">
        <f>MONTH(G217)</f>
        <v>3</v>
      </c>
      <c r="J217" s="4">
        <f>YEAR(G217)</f>
        <v>1971</v>
      </c>
      <c r="K217" s="6">
        <v>7103161100099</v>
      </c>
      <c r="L217" s="5">
        <v>41456</v>
      </c>
      <c r="M217" s="5">
        <v>45444</v>
      </c>
      <c r="N217" s="5">
        <v>45838</v>
      </c>
      <c r="O217" s="4">
        <v>3470.93</v>
      </c>
      <c r="P217" s="4">
        <v>1</v>
      </c>
      <c r="Q217" s="4" t="s">
        <v>33</v>
      </c>
      <c r="R217" s="4" t="s">
        <v>34</v>
      </c>
      <c r="S217" s="4">
        <v>90001</v>
      </c>
      <c r="T217" s="4">
        <v>51000601075</v>
      </c>
      <c r="U217" s="4">
        <v>0</v>
      </c>
      <c r="V217" s="4">
        <v>0</v>
      </c>
      <c r="W217" s="4">
        <v>0</v>
      </c>
      <c r="X217" s="4">
        <v>10.85</v>
      </c>
      <c r="Y217" s="4">
        <v>3470.93</v>
      </c>
      <c r="Z217" s="4">
        <v>3460.08</v>
      </c>
      <c r="AA217" s="4" t="s">
        <v>35</v>
      </c>
    </row>
    <row r="218" spans="1:27" s="4" customFormat="1" x14ac:dyDescent="0.3">
      <c r="A218" s="4" t="s">
        <v>333</v>
      </c>
      <c r="B218" s="4">
        <v>4797054</v>
      </c>
      <c r="C218" s="4" t="s">
        <v>438</v>
      </c>
      <c r="D218" s="4" t="s">
        <v>185</v>
      </c>
      <c r="E218" s="4" t="s">
        <v>40</v>
      </c>
      <c r="F218" s="4" t="s">
        <v>439</v>
      </c>
      <c r="G218" s="5">
        <v>28555</v>
      </c>
      <c r="H218" s="4">
        <f>DAY(G218)</f>
        <v>6</v>
      </c>
      <c r="I218" s="4">
        <f>MONTH(G218)</f>
        <v>3</v>
      </c>
      <c r="J218" s="4">
        <f>YEAR(G218)</f>
        <v>1978</v>
      </c>
      <c r="K218" s="6">
        <v>7803061100202</v>
      </c>
      <c r="L218" s="5">
        <v>42675</v>
      </c>
      <c r="M218" s="5">
        <v>45474</v>
      </c>
      <c r="N218" s="5">
        <v>45838</v>
      </c>
      <c r="O218" s="4">
        <v>1719.83</v>
      </c>
      <c r="P218" s="4">
        <v>1</v>
      </c>
      <c r="Q218" s="4" t="s">
        <v>33</v>
      </c>
      <c r="R218" s="4" t="s">
        <v>34</v>
      </c>
      <c r="S218" s="4">
        <v>90001</v>
      </c>
      <c r="T218" s="4">
        <v>51001629941</v>
      </c>
      <c r="U218" s="4">
        <v>0</v>
      </c>
      <c r="V218" s="4">
        <v>0</v>
      </c>
      <c r="W218" s="4">
        <v>0</v>
      </c>
      <c r="X218" s="4">
        <v>0</v>
      </c>
      <c r="Y218" s="4">
        <v>1719.83</v>
      </c>
      <c r="Z218" s="4">
        <v>1719.83</v>
      </c>
      <c r="AA218" s="4" t="s">
        <v>35</v>
      </c>
    </row>
    <row r="219" spans="1:27" s="4" customFormat="1" x14ac:dyDescent="0.3">
      <c r="A219" s="4" t="s">
        <v>333</v>
      </c>
      <c r="B219" s="4">
        <v>4932657</v>
      </c>
      <c r="C219" s="4" t="s">
        <v>440</v>
      </c>
      <c r="D219" s="4" t="s">
        <v>252</v>
      </c>
      <c r="E219" s="4" t="s">
        <v>128</v>
      </c>
      <c r="F219" s="4" t="s">
        <v>253</v>
      </c>
      <c r="G219" s="5">
        <v>24190</v>
      </c>
      <c r="H219" s="4">
        <f>DAY(G219)</f>
        <v>24</v>
      </c>
      <c r="I219" s="4">
        <f>MONTH(G219)</f>
        <v>3</v>
      </c>
      <c r="J219" s="4">
        <f>YEAR(G219)</f>
        <v>1966</v>
      </c>
      <c r="K219" s="6">
        <v>6603246100064</v>
      </c>
      <c r="L219" s="5">
        <v>42826</v>
      </c>
      <c r="M219" s="5">
        <v>45474</v>
      </c>
      <c r="N219" s="5">
        <v>45838</v>
      </c>
      <c r="O219" s="4">
        <v>941.4</v>
      </c>
      <c r="P219" s="4">
        <v>1</v>
      </c>
      <c r="Q219" s="4" t="s">
        <v>33</v>
      </c>
      <c r="R219" s="4" t="s">
        <v>34</v>
      </c>
      <c r="S219" s="4">
        <v>90001</v>
      </c>
      <c r="T219" s="4">
        <v>51000560514</v>
      </c>
      <c r="U219" s="4">
        <v>0</v>
      </c>
      <c r="V219" s="4">
        <v>0</v>
      </c>
      <c r="W219" s="4">
        <v>0</v>
      </c>
      <c r="X219" s="4">
        <v>0</v>
      </c>
      <c r="Y219" s="4">
        <v>941.4</v>
      </c>
      <c r="Z219" s="4">
        <v>941.4</v>
      </c>
      <c r="AA219" s="4" t="s">
        <v>35</v>
      </c>
    </row>
    <row r="220" spans="1:27" s="4" customFormat="1" x14ac:dyDescent="0.3">
      <c r="A220" s="4" t="s">
        <v>333</v>
      </c>
      <c r="B220" s="4">
        <v>56644</v>
      </c>
      <c r="C220" s="4" t="s">
        <v>441</v>
      </c>
      <c r="D220" s="4" t="s">
        <v>66</v>
      </c>
      <c r="E220" s="4" t="s">
        <v>442</v>
      </c>
      <c r="F220" s="4" t="s">
        <v>443</v>
      </c>
      <c r="G220" s="5">
        <v>21626</v>
      </c>
      <c r="H220" s="4">
        <f>DAY(G220)</f>
        <v>17</v>
      </c>
      <c r="I220" s="4">
        <f>MONTH(G220)</f>
        <v>3</v>
      </c>
      <c r="J220" s="4">
        <f>YEAR(G220)</f>
        <v>1959</v>
      </c>
      <c r="K220" s="6">
        <v>5903171100159</v>
      </c>
      <c r="L220" s="5">
        <v>45139</v>
      </c>
      <c r="M220" s="5">
        <v>45474</v>
      </c>
      <c r="N220" s="5">
        <v>45838</v>
      </c>
      <c r="O220" s="4">
        <v>960.28</v>
      </c>
      <c r="P220" s="4">
        <v>1</v>
      </c>
      <c r="Q220" s="4" t="s">
        <v>33</v>
      </c>
      <c r="R220" s="4" t="s">
        <v>34</v>
      </c>
      <c r="S220" s="4">
        <v>770001</v>
      </c>
      <c r="T220" s="4">
        <v>77402148918</v>
      </c>
      <c r="U220" s="4">
        <v>0</v>
      </c>
      <c r="V220" s="4">
        <v>0</v>
      </c>
      <c r="W220" s="4">
        <v>0</v>
      </c>
      <c r="X220" s="4">
        <v>0</v>
      </c>
      <c r="Y220" s="4">
        <v>960.28</v>
      </c>
      <c r="Z220" s="4">
        <v>960.28</v>
      </c>
      <c r="AA220" s="4" t="s">
        <v>35</v>
      </c>
    </row>
    <row r="221" spans="1:27" s="4" customFormat="1" x14ac:dyDescent="0.3">
      <c r="A221" s="4" t="s">
        <v>333</v>
      </c>
      <c r="B221" s="4">
        <v>56806</v>
      </c>
      <c r="C221" s="4" t="s">
        <v>444</v>
      </c>
      <c r="D221" s="4" t="s">
        <v>30</v>
      </c>
      <c r="E221" s="4" t="s">
        <v>37</v>
      </c>
      <c r="F221" s="4" t="s">
        <v>445</v>
      </c>
      <c r="G221" s="5">
        <v>18323</v>
      </c>
      <c r="H221" s="4">
        <f>DAY(G221)</f>
        <v>1</v>
      </c>
      <c r="I221" s="4">
        <f>MONTH(G221)</f>
        <v>3</v>
      </c>
      <c r="J221" s="4">
        <f>YEAR(G221)</f>
        <v>1950</v>
      </c>
      <c r="K221" s="6">
        <v>5003011100079</v>
      </c>
      <c r="L221" s="5">
        <v>38200</v>
      </c>
      <c r="M221" s="5">
        <v>45474</v>
      </c>
      <c r="N221" s="5">
        <v>45838</v>
      </c>
      <c r="O221" s="4">
        <v>811.04</v>
      </c>
      <c r="P221" s="4">
        <v>1</v>
      </c>
      <c r="Q221" s="4" t="s">
        <v>33</v>
      </c>
      <c r="R221" s="4" t="s">
        <v>34</v>
      </c>
      <c r="S221" s="4">
        <v>90001</v>
      </c>
      <c r="T221" s="4">
        <v>51000432001</v>
      </c>
      <c r="U221" s="4">
        <v>0</v>
      </c>
      <c r="V221" s="4">
        <v>0</v>
      </c>
      <c r="W221" s="4">
        <v>0</v>
      </c>
      <c r="X221" s="4">
        <v>0</v>
      </c>
      <c r="Y221" s="4">
        <v>811.04</v>
      </c>
      <c r="Z221" s="4">
        <v>811.04</v>
      </c>
      <c r="AA221" s="4" t="s">
        <v>35</v>
      </c>
    </row>
    <row r="222" spans="1:27" s="4" customFormat="1" x14ac:dyDescent="0.3">
      <c r="A222" s="4" t="s">
        <v>333</v>
      </c>
      <c r="B222" s="4">
        <v>6142371</v>
      </c>
      <c r="C222" s="4" t="s">
        <v>446</v>
      </c>
      <c r="D222" s="4" t="s">
        <v>447</v>
      </c>
      <c r="E222" s="4" t="s">
        <v>72</v>
      </c>
      <c r="F222" s="4" t="s">
        <v>448</v>
      </c>
      <c r="G222" s="5">
        <v>21989</v>
      </c>
      <c r="H222" s="4">
        <f>DAY(G222)</f>
        <v>14</v>
      </c>
      <c r="I222" s="4">
        <f>MONTH(G222)</f>
        <v>3</v>
      </c>
      <c r="J222" s="4">
        <f>YEAR(G222)</f>
        <v>1960</v>
      </c>
      <c r="K222" s="6">
        <v>6003141100253</v>
      </c>
      <c r="L222" s="5">
        <v>45717</v>
      </c>
      <c r="M222" s="5">
        <v>45627</v>
      </c>
      <c r="N222" s="5">
        <v>45838</v>
      </c>
      <c r="O222" s="4">
        <v>932.31</v>
      </c>
      <c r="P222" s="4">
        <v>1</v>
      </c>
      <c r="Q222" s="4" t="s">
        <v>33</v>
      </c>
      <c r="R222" s="4" t="s">
        <v>34</v>
      </c>
      <c r="S222" s="4">
        <v>282064</v>
      </c>
      <c r="T222" s="4">
        <v>63127672433</v>
      </c>
      <c r="U222" s="4">
        <v>0</v>
      </c>
      <c r="V222" s="4">
        <v>0</v>
      </c>
      <c r="W222" s="4">
        <v>0</v>
      </c>
      <c r="X222" s="4">
        <v>0</v>
      </c>
      <c r="Y222" s="4">
        <v>932.31</v>
      </c>
      <c r="Z222" s="4">
        <v>932.31</v>
      </c>
      <c r="AA222" s="4" t="s">
        <v>35</v>
      </c>
    </row>
    <row r="223" spans="1:27" s="4" customFormat="1" x14ac:dyDescent="0.3">
      <c r="A223" s="4" t="s">
        <v>333</v>
      </c>
      <c r="B223" s="4">
        <v>6143970</v>
      </c>
      <c r="C223" s="4" t="s">
        <v>449</v>
      </c>
      <c r="D223" s="4" t="s">
        <v>326</v>
      </c>
      <c r="E223" s="4" t="s">
        <v>290</v>
      </c>
      <c r="F223" s="4" t="s">
        <v>448</v>
      </c>
      <c r="G223" s="5">
        <v>25649</v>
      </c>
      <c r="H223" s="4">
        <f>DAY(G223)</f>
        <v>22</v>
      </c>
      <c r="I223" s="4">
        <f>MONTH(G223)</f>
        <v>3</v>
      </c>
      <c r="J223" s="4">
        <f>YEAR(G223)</f>
        <v>1970</v>
      </c>
      <c r="K223" s="6">
        <v>7003221100024</v>
      </c>
      <c r="L223" s="5">
        <v>40940</v>
      </c>
      <c r="M223" s="5">
        <v>45474</v>
      </c>
      <c r="N223" s="5">
        <v>45838</v>
      </c>
      <c r="O223" s="4">
        <v>3743.29</v>
      </c>
      <c r="P223" s="4">
        <v>1</v>
      </c>
      <c r="Q223" s="4" t="s">
        <v>33</v>
      </c>
      <c r="R223" s="4" t="s">
        <v>34</v>
      </c>
      <c r="S223" s="4">
        <v>660964</v>
      </c>
      <c r="T223" s="4">
        <v>9110003870432</v>
      </c>
      <c r="U223" s="4">
        <v>0</v>
      </c>
      <c r="V223" s="4">
        <v>0</v>
      </c>
      <c r="W223" s="4">
        <v>0</v>
      </c>
      <c r="X223" s="4">
        <v>65.319999999999993</v>
      </c>
      <c r="Y223" s="4">
        <v>3743.29</v>
      </c>
      <c r="Z223" s="4">
        <v>3677.97</v>
      </c>
      <c r="AA223" s="4" t="s">
        <v>35</v>
      </c>
    </row>
    <row r="224" spans="1:27" s="4" customFormat="1" x14ac:dyDescent="0.3">
      <c r="A224" s="4" t="s">
        <v>333</v>
      </c>
      <c r="B224" s="4">
        <v>6203359</v>
      </c>
      <c r="C224" s="4" t="s">
        <v>450</v>
      </c>
      <c r="D224" s="4" t="s">
        <v>326</v>
      </c>
      <c r="E224" s="4" t="s">
        <v>451</v>
      </c>
      <c r="F224" s="4" t="s">
        <v>452</v>
      </c>
      <c r="G224" s="5">
        <v>17246</v>
      </c>
      <c r="H224" s="4">
        <f>DAY(G224)</f>
        <v>20</v>
      </c>
      <c r="I224" s="4">
        <f>MONTH(G224)</f>
        <v>3</v>
      </c>
      <c r="J224" s="4">
        <f>YEAR(G224)</f>
        <v>1947</v>
      </c>
      <c r="K224" s="6">
        <v>4703206100013</v>
      </c>
      <c r="L224" s="5">
        <v>44075</v>
      </c>
      <c r="M224" s="5">
        <v>45474</v>
      </c>
      <c r="N224" s="5">
        <v>45838</v>
      </c>
      <c r="O224" s="4">
        <v>3081.31</v>
      </c>
      <c r="P224" s="4">
        <v>1</v>
      </c>
      <c r="Q224" s="4" t="s">
        <v>33</v>
      </c>
      <c r="R224" s="4" t="s">
        <v>34</v>
      </c>
      <c r="S224" s="4">
        <v>660564</v>
      </c>
      <c r="T224" s="4">
        <v>9110002716642</v>
      </c>
      <c r="U224" s="4">
        <v>0</v>
      </c>
      <c r="V224" s="4">
        <v>0</v>
      </c>
      <c r="W224" s="4">
        <v>0</v>
      </c>
      <c r="X224" s="4">
        <v>0</v>
      </c>
      <c r="Y224" s="4">
        <v>3081.31</v>
      </c>
      <c r="Z224" s="4">
        <v>3081.31</v>
      </c>
      <c r="AA224" s="4" t="s">
        <v>35</v>
      </c>
    </row>
    <row r="225" spans="1:27" s="4" customFormat="1" x14ac:dyDescent="0.3">
      <c r="A225" s="4" t="s">
        <v>333</v>
      </c>
      <c r="B225" s="4">
        <v>6367237</v>
      </c>
      <c r="C225" s="4" t="s">
        <v>453</v>
      </c>
      <c r="D225" s="4" t="s">
        <v>66</v>
      </c>
      <c r="E225" s="4" t="s">
        <v>358</v>
      </c>
      <c r="F225" s="4" t="s">
        <v>454</v>
      </c>
      <c r="G225" s="5">
        <v>21614</v>
      </c>
      <c r="H225" s="4">
        <f>DAY(G225)</f>
        <v>5</v>
      </c>
      <c r="I225" s="4">
        <f>MONTH(G225)</f>
        <v>3</v>
      </c>
      <c r="J225" s="4">
        <f>YEAR(G225)</f>
        <v>1959</v>
      </c>
      <c r="K225" s="6">
        <v>5903056100027</v>
      </c>
      <c r="L225" s="5">
        <v>41671</v>
      </c>
      <c r="M225" s="5">
        <v>45474</v>
      </c>
      <c r="N225" s="5">
        <v>45838</v>
      </c>
      <c r="O225" s="4">
        <v>1236.46</v>
      </c>
      <c r="P225" s="4">
        <v>1</v>
      </c>
      <c r="Q225" s="4" t="s">
        <v>33</v>
      </c>
      <c r="R225" s="4" t="s">
        <v>34</v>
      </c>
      <c r="S225" s="4">
        <v>770002</v>
      </c>
      <c r="T225" s="4">
        <v>77010349014</v>
      </c>
      <c r="U225" s="4">
        <v>0</v>
      </c>
      <c r="V225" s="4">
        <v>0</v>
      </c>
      <c r="W225" s="4">
        <v>0</v>
      </c>
      <c r="X225" s="4">
        <v>0</v>
      </c>
      <c r="Y225" s="4">
        <v>1236.46</v>
      </c>
      <c r="Z225" s="4">
        <v>1236.46</v>
      </c>
      <c r="AA225" s="4" t="s">
        <v>35</v>
      </c>
    </row>
    <row r="226" spans="1:27" s="4" customFormat="1" x14ac:dyDescent="0.3">
      <c r="A226" s="4" t="s">
        <v>333</v>
      </c>
      <c r="B226" s="4">
        <v>6536240</v>
      </c>
      <c r="C226" s="4" t="s">
        <v>455</v>
      </c>
      <c r="D226" s="4" t="s">
        <v>66</v>
      </c>
      <c r="E226" s="4" t="s">
        <v>456</v>
      </c>
      <c r="F226" s="4" t="s">
        <v>457</v>
      </c>
      <c r="G226" s="5">
        <v>27474</v>
      </c>
      <c r="H226" s="4">
        <f>DAY(G226)</f>
        <v>21</v>
      </c>
      <c r="I226" s="4">
        <f>MONTH(G226)</f>
        <v>3</v>
      </c>
      <c r="J226" s="4">
        <f>YEAR(G226)</f>
        <v>1975</v>
      </c>
      <c r="K226" s="6">
        <v>7503211100041</v>
      </c>
      <c r="L226" s="5">
        <v>40057</v>
      </c>
      <c r="M226" s="5">
        <v>45474</v>
      </c>
      <c r="N226" s="5">
        <v>45838</v>
      </c>
      <c r="O226" s="4">
        <v>2583.87</v>
      </c>
      <c r="P226" s="4">
        <v>1</v>
      </c>
      <c r="Q226" s="4" t="s">
        <v>33</v>
      </c>
      <c r="R226" s="4" t="s">
        <v>34</v>
      </c>
      <c r="S226" s="4">
        <v>770002</v>
      </c>
      <c r="T226" s="4">
        <v>77024151238</v>
      </c>
      <c r="U226" s="4">
        <v>0</v>
      </c>
      <c r="V226" s="4">
        <v>0</v>
      </c>
      <c r="W226" s="4">
        <v>0</v>
      </c>
      <c r="X226" s="4">
        <v>0</v>
      </c>
      <c r="Y226" s="4">
        <v>2583.87</v>
      </c>
      <c r="Z226" s="4">
        <v>2583.87</v>
      </c>
      <c r="AA226" s="4" t="s">
        <v>35</v>
      </c>
    </row>
    <row r="227" spans="1:27" s="4" customFormat="1" x14ac:dyDescent="0.3">
      <c r="A227" s="4" t="s">
        <v>333</v>
      </c>
      <c r="B227" s="4">
        <v>66561</v>
      </c>
      <c r="C227" s="4" t="s">
        <v>458</v>
      </c>
      <c r="D227" s="4" t="s">
        <v>459</v>
      </c>
      <c r="E227" s="4" t="s">
        <v>423</v>
      </c>
      <c r="F227" s="4" t="s">
        <v>460</v>
      </c>
      <c r="G227" s="5">
        <v>22729</v>
      </c>
      <c r="H227" s="4">
        <f>DAY(G227)</f>
        <v>24</v>
      </c>
      <c r="I227" s="4">
        <f>MONTH(G227)</f>
        <v>3</v>
      </c>
      <c r="J227" s="4">
        <f>YEAR(G227)</f>
        <v>1962</v>
      </c>
      <c r="K227" s="6">
        <v>6203246100030</v>
      </c>
      <c r="L227" s="5">
        <v>38718</v>
      </c>
      <c r="M227" s="5">
        <v>45474</v>
      </c>
      <c r="N227" s="5">
        <v>45838</v>
      </c>
      <c r="O227" s="4">
        <v>1895.68</v>
      </c>
      <c r="P227" s="4">
        <v>1</v>
      </c>
      <c r="Q227" s="4" t="s">
        <v>33</v>
      </c>
      <c r="R227" s="4" t="s">
        <v>34</v>
      </c>
      <c r="S227" s="4">
        <v>663164</v>
      </c>
      <c r="T227" s="4">
        <v>9110004050439</v>
      </c>
      <c r="U227" s="4">
        <v>0</v>
      </c>
      <c r="V227" s="4">
        <v>0</v>
      </c>
      <c r="W227" s="4">
        <v>0</v>
      </c>
      <c r="X227" s="4">
        <v>0</v>
      </c>
      <c r="Y227" s="4">
        <v>1895.68</v>
      </c>
      <c r="Z227" s="4">
        <v>1895.68</v>
      </c>
      <c r="AA227" s="4" t="s">
        <v>35</v>
      </c>
    </row>
    <row r="228" spans="1:27" s="4" customFormat="1" x14ac:dyDescent="0.3">
      <c r="A228" s="4" t="s">
        <v>333</v>
      </c>
      <c r="B228" s="4">
        <v>69270</v>
      </c>
      <c r="C228" s="4" t="s">
        <v>461</v>
      </c>
      <c r="D228" s="4" t="s">
        <v>462</v>
      </c>
      <c r="E228" s="4" t="s">
        <v>202</v>
      </c>
      <c r="F228" s="4" t="s">
        <v>463</v>
      </c>
      <c r="G228" s="5">
        <v>20155</v>
      </c>
      <c r="H228" s="4">
        <f>DAY(G228)</f>
        <v>7</v>
      </c>
      <c r="I228" s="4">
        <f>MONTH(G228)</f>
        <v>3</v>
      </c>
      <c r="J228" s="4">
        <f>YEAR(G228)</f>
        <v>1955</v>
      </c>
      <c r="K228" s="6">
        <v>5503071100042</v>
      </c>
      <c r="L228" s="5">
        <v>40483</v>
      </c>
      <c r="M228" s="5">
        <v>45474</v>
      </c>
      <c r="N228" s="5">
        <v>45838</v>
      </c>
      <c r="O228" s="4">
        <v>1338.15</v>
      </c>
      <c r="P228" s="4">
        <v>1</v>
      </c>
      <c r="Q228" s="4" t="s">
        <v>33</v>
      </c>
      <c r="R228" s="4" t="s">
        <v>34</v>
      </c>
      <c r="S228" s="4">
        <v>770005</v>
      </c>
      <c r="T228" s="4">
        <v>77401768834</v>
      </c>
      <c r="U228" s="4">
        <v>0</v>
      </c>
      <c r="V228" s="4">
        <v>0</v>
      </c>
      <c r="W228" s="4">
        <v>0</v>
      </c>
      <c r="X228" s="4">
        <v>0</v>
      </c>
      <c r="Y228" s="4">
        <v>1338.15</v>
      </c>
      <c r="Z228" s="4">
        <v>1338.15</v>
      </c>
      <c r="AA228" s="4" t="s">
        <v>35</v>
      </c>
    </row>
    <row r="229" spans="1:27" s="4" customFormat="1" x14ac:dyDescent="0.3">
      <c r="A229" s="4" t="s">
        <v>333</v>
      </c>
      <c r="B229" s="4">
        <v>7017368</v>
      </c>
      <c r="C229" s="4" t="s">
        <v>464</v>
      </c>
      <c r="D229" s="4" t="s">
        <v>465</v>
      </c>
      <c r="E229" s="4" t="s">
        <v>155</v>
      </c>
      <c r="F229" s="4" t="s">
        <v>76</v>
      </c>
      <c r="G229" s="5">
        <v>20527</v>
      </c>
      <c r="H229" s="4">
        <f>DAY(G229)</f>
        <v>13</v>
      </c>
      <c r="I229" s="4">
        <f>MONTH(G229)</f>
        <v>3</v>
      </c>
      <c r="J229" s="4">
        <f>YEAR(G229)</f>
        <v>1956</v>
      </c>
      <c r="K229" s="6">
        <v>5603131100063</v>
      </c>
      <c r="L229" s="5">
        <v>44621</v>
      </c>
      <c r="M229" s="5">
        <v>45474</v>
      </c>
      <c r="N229" s="5">
        <v>45838</v>
      </c>
      <c r="O229" s="4">
        <v>6377.63</v>
      </c>
      <c r="P229" s="4">
        <v>1</v>
      </c>
      <c r="Q229" s="4" t="s">
        <v>33</v>
      </c>
      <c r="R229" s="4" t="s">
        <v>34</v>
      </c>
      <c r="S229" s="4">
        <v>90001</v>
      </c>
      <c r="T229" s="4">
        <v>51001105101</v>
      </c>
      <c r="U229" s="4">
        <v>0</v>
      </c>
      <c r="V229" s="4">
        <v>0</v>
      </c>
      <c r="W229" s="4">
        <v>0</v>
      </c>
      <c r="X229" s="4">
        <v>367.19</v>
      </c>
      <c r="Y229" s="4">
        <v>6377.63</v>
      </c>
      <c r="Z229" s="4">
        <v>6010.44</v>
      </c>
      <c r="AA229" s="4" t="s">
        <v>35</v>
      </c>
    </row>
    <row r="230" spans="1:27" s="4" customFormat="1" x14ac:dyDescent="0.3">
      <c r="A230" s="4" t="s">
        <v>333</v>
      </c>
      <c r="B230" s="4">
        <v>7018376</v>
      </c>
      <c r="C230" s="4" t="s">
        <v>466</v>
      </c>
      <c r="D230" s="4" t="s">
        <v>192</v>
      </c>
      <c r="E230" s="4" t="s">
        <v>467</v>
      </c>
      <c r="F230" s="4" t="s">
        <v>468</v>
      </c>
      <c r="G230" s="5">
        <v>21258</v>
      </c>
      <c r="H230" s="4">
        <f>DAY(G230)</f>
        <v>14</v>
      </c>
      <c r="I230" s="4">
        <f>MONTH(G230)</f>
        <v>3</v>
      </c>
      <c r="J230" s="4">
        <f>YEAR(G230)</f>
        <v>1958</v>
      </c>
      <c r="K230" s="6">
        <v>5803141100059</v>
      </c>
      <c r="L230" s="5">
        <v>40969</v>
      </c>
      <c r="M230" s="5">
        <v>45474</v>
      </c>
      <c r="N230" s="5">
        <v>45838</v>
      </c>
      <c r="O230" s="4">
        <v>5019.88</v>
      </c>
      <c r="P230" s="4">
        <v>1</v>
      </c>
      <c r="Q230" s="4" t="s">
        <v>33</v>
      </c>
      <c r="R230" s="4" t="s">
        <v>34</v>
      </c>
      <c r="S230" s="4">
        <v>90001</v>
      </c>
      <c r="T230" s="4">
        <v>51000036599</v>
      </c>
      <c r="U230" s="4">
        <v>0</v>
      </c>
      <c r="V230" s="4">
        <v>0</v>
      </c>
      <c r="W230" s="4">
        <v>0</v>
      </c>
      <c r="X230" s="4">
        <v>95.64</v>
      </c>
      <c r="Y230" s="4">
        <v>5019.88</v>
      </c>
      <c r="Z230" s="4">
        <v>4924.24</v>
      </c>
      <c r="AA230" s="4" t="s">
        <v>35</v>
      </c>
    </row>
    <row r="231" spans="1:27" s="4" customFormat="1" x14ac:dyDescent="0.3">
      <c r="A231" s="4" t="s">
        <v>333</v>
      </c>
      <c r="B231" s="4">
        <v>7183869</v>
      </c>
      <c r="C231" s="4" t="s">
        <v>469</v>
      </c>
      <c r="D231" s="4" t="s">
        <v>276</v>
      </c>
      <c r="E231" s="4" t="s">
        <v>470</v>
      </c>
      <c r="F231" s="4" t="s">
        <v>471</v>
      </c>
      <c r="G231" s="5">
        <v>27481</v>
      </c>
      <c r="H231" s="4">
        <f>DAY(G231)</f>
        <v>28</v>
      </c>
      <c r="I231" s="4">
        <f>MONTH(G231)</f>
        <v>3</v>
      </c>
      <c r="J231" s="4">
        <f>YEAR(G231)</f>
        <v>1975</v>
      </c>
      <c r="K231" s="6">
        <v>7503281100053</v>
      </c>
      <c r="L231" s="5">
        <v>44256</v>
      </c>
      <c r="M231" s="5">
        <v>45474</v>
      </c>
      <c r="N231" s="5">
        <v>45838</v>
      </c>
      <c r="O231" s="4">
        <v>2148.59</v>
      </c>
      <c r="P231" s="4">
        <v>1</v>
      </c>
      <c r="Q231" s="4" t="s">
        <v>33</v>
      </c>
      <c r="R231" s="4" t="s">
        <v>34</v>
      </c>
      <c r="S231" s="4">
        <v>280164</v>
      </c>
      <c r="T231" s="4">
        <v>62483838052</v>
      </c>
      <c r="U231" s="4">
        <v>0</v>
      </c>
      <c r="V231" s="4">
        <v>0</v>
      </c>
      <c r="W231" s="4">
        <v>0</v>
      </c>
      <c r="X231" s="4">
        <v>0</v>
      </c>
      <c r="Y231" s="4">
        <v>2148.59</v>
      </c>
      <c r="Z231" s="4">
        <v>2148.59</v>
      </c>
      <c r="AA231" s="4" t="s">
        <v>35</v>
      </c>
    </row>
    <row r="232" spans="1:27" s="4" customFormat="1" x14ac:dyDescent="0.3">
      <c r="A232" s="4" t="s">
        <v>333</v>
      </c>
      <c r="B232" s="4">
        <v>8313258</v>
      </c>
      <c r="C232" s="4" t="s">
        <v>472</v>
      </c>
      <c r="D232" s="4" t="s">
        <v>473</v>
      </c>
      <c r="E232" s="4" t="s">
        <v>474</v>
      </c>
      <c r="F232" s="4" t="s">
        <v>167</v>
      </c>
      <c r="G232" s="5">
        <v>22710</v>
      </c>
      <c r="H232" s="4">
        <f>DAY(G232)</f>
        <v>5</v>
      </c>
      <c r="I232" s="4">
        <f>MONTH(G232)</f>
        <v>3</v>
      </c>
      <c r="J232" s="4">
        <f>YEAR(G232)</f>
        <v>1962</v>
      </c>
      <c r="K232" s="6">
        <v>6203051100240</v>
      </c>
      <c r="L232" s="5">
        <v>40848</v>
      </c>
      <c r="M232" s="5">
        <v>45474</v>
      </c>
      <c r="N232" s="5">
        <v>45838</v>
      </c>
      <c r="O232" s="4">
        <v>5677.95</v>
      </c>
      <c r="P232" s="4">
        <v>1</v>
      </c>
      <c r="Q232" s="4" t="s">
        <v>33</v>
      </c>
      <c r="R232" s="4" t="s">
        <v>34</v>
      </c>
      <c r="S232" s="4">
        <v>90004</v>
      </c>
      <c r="T232" s="4">
        <v>51000815342</v>
      </c>
      <c r="U232" s="4">
        <v>0</v>
      </c>
      <c r="V232" s="4">
        <v>0</v>
      </c>
      <c r="W232" s="4">
        <v>0</v>
      </c>
      <c r="X232" s="4">
        <v>227.25</v>
      </c>
      <c r="Y232" s="4">
        <v>5677.95</v>
      </c>
      <c r="Z232" s="4">
        <v>5450.7</v>
      </c>
      <c r="AA232" s="4" t="s">
        <v>35</v>
      </c>
    </row>
    <row r="233" spans="1:27" s="4" customFormat="1" x14ac:dyDescent="0.3">
      <c r="A233" s="4" t="s">
        <v>333</v>
      </c>
      <c r="B233" s="4">
        <v>8760966</v>
      </c>
      <c r="C233" s="4" t="s">
        <v>475</v>
      </c>
      <c r="D233" s="4" t="s">
        <v>476</v>
      </c>
      <c r="E233" s="4" t="s">
        <v>477</v>
      </c>
      <c r="F233" s="4" t="s">
        <v>478</v>
      </c>
      <c r="G233" s="5">
        <v>27464</v>
      </c>
      <c r="H233" s="4">
        <f>DAY(G233)</f>
        <v>11</v>
      </c>
      <c r="I233" s="4">
        <f>MONTH(G233)</f>
        <v>3</v>
      </c>
      <c r="J233" s="4">
        <f>YEAR(G233)</f>
        <v>1975</v>
      </c>
      <c r="K233" s="6">
        <v>7503111100109</v>
      </c>
      <c r="L233" s="5">
        <v>41944</v>
      </c>
      <c r="M233" s="5">
        <v>45474</v>
      </c>
      <c r="N233" s="5">
        <v>45838</v>
      </c>
      <c r="O233" s="4">
        <v>1062.06</v>
      </c>
      <c r="P233" s="4">
        <v>1</v>
      </c>
      <c r="Q233" s="4" t="s">
        <v>33</v>
      </c>
      <c r="R233" s="4" t="s">
        <v>34</v>
      </c>
      <c r="S233" s="4">
        <v>90001</v>
      </c>
      <c r="T233" s="4">
        <v>51000609599</v>
      </c>
      <c r="U233" s="4">
        <v>0</v>
      </c>
      <c r="V233" s="4">
        <v>0</v>
      </c>
      <c r="W233" s="4">
        <v>0</v>
      </c>
      <c r="X233" s="4">
        <v>0</v>
      </c>
      <c r="Y233" s="4">
        <v>1062.06</v>
      </c>
      <c r="Z233" s="4">
        <v>1062.06</v>
      </c>
      <c r="AA233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Nomphumelelo Masina</dc:creator>
  <cp:lastModifiedBy>Nomphumelelo Masina</cp:lastModifiedBy>
  <dcterms:created xsi:type="dcterms:W3CDTF">2026-05-21T06:55:06Z</dcterms:created>
  <dcterms:modified xsi:type="dcterms:W3CDTF">2026-05-21T06:56:52Z</dcterms:modified>
</cp:coreProperties>
</file>